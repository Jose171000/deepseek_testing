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F554FDD5-7651-4C24-B5FF-06E17A4CD533}" xr6:coauthVersionLast="47" xr6:coauthVersionMax="47" xr10:uidLastSave="{00000000-0000-0000-0000-000000000000}"/>
  <bookViews>
    <workbookView xWindow="-90" yWindow="-90" windowWidth="19380" windowHeight="10260" xr2:uid="{00000000-000D-0000-FFFF-FFFF00000000}"/>
  </bookViews>
  <sheets>
    <sheet name="processedData" sheetId="1" r:id="rId1"/>
    <sheet name="Hoja1" sheetId="2" r:id="rId2"/>
  </sheets>
  <definedNames>
    <definedName name="_xlnm._FilterDatabase" localSheetId="0" hidden="1">processedData!$A$1:$AP$41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1" l="1"/>
  <c r="B26" i="1"/>
  <c r="B17" i="1"/>
  <c r="B30" i="1"/>
  <c r="B38" i="1"/>
  <c r="B4" i="1"/>
  <c r="B6" i="1"/>
  <c r="B27" i="1"/>
  <c r="B18" i="1"/>
  <c r="B23" i="1"/>
  <c r="B14" i="1"/>
  <c r="B12" i="1"/>
  <c r="B9" i="1"/>
  <c r="B21" i="1"/>
  <c r="B25" i="1"/>
  <c r="B28" i="1"/>
  <c r="B2" i="1"/>
  <c r="B7" i="1"/>
  <c r="B10" i="1"/>
  <c r="B39" i="1"/>
  <c r="B29" i="1"/>
  <c r="B11" i="1"/>
  <c r="B8" i="1"/>
  <c r="B3" i="1"/>
  <c r="B19" i="1"/>
  <c r="B36" i="1"/>
  <c r="B15" i="1"/>
  <c r="B24" i="1"/>
  <c r="B35" i="1"/>
  <c r="B13" i="1"/>
  <c r="H35" i="1"/>
  <c r="H24" i="1"/>
  <c r="H15" i="1"/>
  <c r="H36" i="1"/>
  <c r="H19" i="1"/>
  <c r="H3" i="1"/>
  <c r="H8" i="1"/>
  <c r="H11" i="1"/>
  <c r="H29" i="1"/>
  <c r="H39" i="1"/>
  <c r="H10" i="1"/>
  <c r="H7" i="1"/>
  <c r="H2" i="1"/>
  <c r="H16" i="1"/>
  <c r="H28" i="1"/>
  <c r="H25" i="1"/>
  <c r="H21" i="1"/>
  <c r="H20" i="1"/>
  <c r="H9" i="1"/>
  <c r="H22" i="1"/>
  <c r="H12" i="1"/>
  <c r="H14" i="1"/>
  <c r="H23" i="1"/>
  <c r="H18" i="1"/>
  <c r="H27" i="1"/>
  <c r="H6" i="1"/>
  <c r="H4" i="1"/>
  <c r="H38" i="1"/>
  <c r="H31" i="1"/>
  <c r="H32" i="1"/>
  <c r="H33" i="1"/>
  <c r="H34" i="1"/>
  <c r="H30" i="1"/>
  <c r="H17" i="1"/>
  <c r="H37" i="1"/>
  <c r="H26" i="1"/>
  <c r="H5" i="1"/>
  <c r="H40" i="1"/>
  <c r="H41" i="1"/>
  <c r="H13" i="1"/>
  <c r="D13" i="1"/>
  <c r="D35" i="1"/>
  <c r="D24" i="1"/>
  <c r="D15" i="1"/>
  <c r="D36" i="1"/>
  <c r="D19" i="1"/>
  <c r="D3" i="1"/>
  <c r="D8" i="1"/>
  <c r="D11" i="1"/>
  <c r="D29" i="1"/>
  <c r="D39" i="1"/>
  <c r="D10" i="1"/>
  <c r="D7" i="1"/>
  <c r="D2" i="1"/>
  <c r="D16" i="1"/>
  <c r="D28" i="1"/>
  <c r="D25" i="1"/>
  <c r="D21" i="1"/>
  <c r="D20" i="1"/>
  <c r="D9" i="1"/>
  <c r="D22" i="1"/>
  <c r="D12" i="1"/>
  <c r="D14" i="1"/>
  <c r="D23" i="1"/>
  <c r="D18" i="1"/>
  <c r="D27" i="1"/>
  <c r="D6" i="1"/>
  <c r="D4" i="1"/>
  <c r="D38" i="1"/>
  <c r="D31" i="1"/>
  <c r="D32" i="1"/>
  <c r="D33" i="1"/>
  <c r="D34" i="1"/>
  <c r="D30" i="1"/>
  <c r="D17" i="1"/>
  <c r="D37" i="1"/>
  <c r="D26" i="1"/>
  <c r="D5" i="1"/>
  <c r="D40" i="1"/>
  <c r="D41" i="1"/>
  <c r="D1" i="1"/>
</calcChain>
</file>

<file path=xl/sharedStrings.xml><?xml version="1.0" encoding="utf-8"?>
<sst xmlns="http://schemas.openxmlformats.org/spreadsheetml/2006/main" count="1182" uniqueCount="762">
  <si>
    <t>SKU simple</t>
  </si>
  <si>
    <t>nombre</t>
  </si>
  <si>
    <t>categorias</t>
  </si>
  <si>
    <t>modo_de_uso</t>
  </si>
  <si>
    <t>tipo_de_piel</t>
  </si>
  <si>
    <t>principales_ingredientes</t>
  </si>
  <si>
    <t>descripcion</t>
  </si>
  <si>
    <t>marca</t>
  </si>
  <si>
    <t>peso_del_paquete</t>
  </si>
  <si>
    <t>genero</t>
  </si>
  <si>
    <t>modelo</t>
  </si>
  <si>
    <t>contenido_del_paquete</t>
  </si>
  <si>
    <t>nombre_general_del_producto</t>
  </si>
  <si>
    <t>contenido_neto</t>
  </si>
  <si>
    <t>nombre_de_color</t>
  </si>
  <si>
    <t>anchura_del_producto</t>
  </si>
  <si>
    <t>altura_del_producto</t>
  </si>
  <si>
    <t>largo_del_producto</t>
  </si>
  <si>
    <t>etiquetas</t>
  </si>
  <si>
    <t>volumen</t>
  </si>
  <si>
    <t>caracteristicas</t>
  </si>
  <si>
    <t>terminos_de_busqueda</t>
  </si>
  <si>
    <t>color</t>
  </si>
  <si>
    <t>peso_del_producto</t>
  </si>
  <si>
    <t>titulo_seo</t>
  </si>
  <si>
    <t>composicion</t>
  </si>
  <si>
    <t>fabricante</t>
  </si>
  <si>
    <t>descripcion_seo</t>
  </si>
  <si>
    <t>aroma</t>
  </si>
  <si>
    <t>categoria_meli</t>
  </si>
  <si>
    <t>categoria_ripley</t>
  </si>
  <si>
    <t>categoria_falabella</t>
  </si>
  <si>
    <t>descripcion_corta</t>
  </si>
  <si>
    <t>054-001-007</t>
  </si>
  <si>
    <t>Facial, Limpiadores, Piel grasa</t>
  </si>
  <si>
    <t>1. Para la Espuma Limpiadora: Aplicar en el rostro, sobre la piel mojada o seca. Masajear y luego aclarar con abundante agua. 2. Para el Cleanance Gel: Aplicar una pequeña cantidad sobre la piel húmeda por la mañana y por la noche en rostro, cuello y espalda si es necesario. Formar espuma y enjuagar con abundante agua.</t>
  </si>
  <si>
    <t>Piel grasa con tendencia acneica</t>
  </si>
  <si>
    <t>Ácido glutámico (reequilibra la producción de sebo), Agua Termal de Avène 72.5% (calma y reequilibra la piel), Laurato de glicerilo (regula el exceso de sebo y matifica), Extracto de Cardo Mariano (purificante).</t>
  </si>
  <si>
    <t>¡Descubre la rutina perfecta para una piel limpia, fresca y sin brillos! Este pack especial de Avène incluye dos limpiadores faciales de alta eficacia. La Espuma Limpiadora de 150 ml es una fórmula cremosa y sin jabón que limpia y desmaquilla suavemente rostro, ojos y labios, eliminando impurezas y exceso de sebo gracias al ácido glutámico, mientras el Agua Termal de Avène calma y reequilibra la piel. El Cleanance Gel de 200 ml es un limpiador purificante que regula el sebo y matifica la piel con su activo vegetal Laurato® de glicerilo, dejando una sensación de frescura extrema. Ideal para una limpieza profunda que respeta el pH natural. ¡Consigue una piel clarificada y luminosa con este dúo infalible!</t>
  </si>
  <si>
    <t>Avène</t>
  </si>
  <si>
    <t>Unisex</t>
  </si>
  <si>
    <t>Pack Espuma + Cleanance Gel</t>
  </si>
  <si>
    <t>1 frasco de Espuma Limpiadora Avène de 150 ml, 1 frasco de Gel Limpiador Cleanance Avène de 200 ml.</t>
  </si>
  <si>
    <t>Kit de limpieza facial</t>
  </si>
  <si>
    <t>350 ml</t>
  </si>
  <si>
    <t>null</t>
  </si>
  <si>
    <t>limpieza facial, piel grasa, acne, espuma limpiadora, gel limpiador, Avène, sebo, matificante, purificante</t>
  </si>
  <si>
    <t>Limpia y desmaquilla, Regula la producción de sebo, Efecto matificante, Con Agua Termal de Avène, Sin jabón, pH respetuoso</t>
  </si>
  <si>
    <t>pack avène limpieza, espuma limpiadora avène, cleanance gel, kit limpieza piel grasa, productos para acne, limpiador facial, avène cleanance, rutina limpieza facial</t>
  </si>
  <si>
    <t>Transparente</t>
  </si>
  <si>
    <t>Pack Limpieza Facial Avène - Espuma 150ml + Cleanance Gel 200ml</t>
  </si>
  <si>
    <t>Espuma Limpiadora: Agua Termal de Avène (72.5%), ácido glutámico, base limpiadora suave sin jabón. Cleanance Gel: Agua Termal de Avène, Laurato de glicerilo (regulador de sebo), Zinc Gluconate, tensioactivos suaves. Ambos productos están formulados para limpiar profundamente sin agredir la piel.</t>
  </si>
  <si>
    <t>Pierre Fabre</t>
  </si>
  <si>
    <t>Pack con Espuma Limpiadora y Cleanance Gel de Avène. Ideal para piel grasa y con tendencia acneica. Limpia, purifica, regula el sebo y matifica. ¡Disfruta de una piel fresca y luminosa!</t>
  </si>
  <si>
    <t>Kit de Cuidado de la Piel</t>
  </si>
  <si>
    <t>TRATAMIENTOS Y DERMOCOSMETICA &gt; DERMOCOSMETICA</t>
  </si>
  <si>
    <t>Limpiadores|desmaquilladores no eléctricos</t>
  </si>
  <si>
    <t>055-001-007</t>
  </si>
  <si>
    <t>Antiedad, Antimanchas, Facial</t>
  </si>
  <si>
    <t>1. Por la mañana: Limpia y seca tu rostro. Aplica el Sérum Vitamina Cg, masajeando hasta su absorción. Luego, aplica el Protector Solar Fluido Mat Perfect SPF50+ Color uniformemente en rostro y cuello 20 minutos antes de la exposición solar. 2. Por la noche: Limpia tu rostro. Aplica el Sérum Vitamina Cg antes de tu crema hidratante habitual. 3. Para el protector solar: Reaplica cada 2 o 3 horas durante la exposición al sol.</t>
  </si>
  <si>
    <t>Todo tipo de piel</t>
  </si>
  <si>
    <t>Vitamina Cg (1.8%): Potente antioxidante que ilumina y protege la piel, Niacinamida (3%): Mejora la barrera cutánea y reduce manchas, Bakuchiol (1.5%): Alternativa natural al retinol que corrige arrugas, Complejo Sunsitive®: Protección fotostable de amplio espectro UVB/UVA, Agua Termal de Avene: Calma y suaviza la piel.</t>
  </si>
  <si>
    <t>¡Descubre el dúo perfecto para una piel radiante y protegida! Este pack exclusivo Avene combina el poder corrector del Sérum Vitamina Cg con la protección de última generación del Fluido Solar Mat Perfect. El sérum, con un 94% de ingredientes naturales, es un tratamiento intensivo que combate manchas, arrugas y flacidez, iluminando la piel desde la primera aplicación gracias a su fórmula con Vitamina Cg, Niacinamida y Bakuchiol. El protector solar facial con color SPF50+ ofrece un acabado mate, unifica el tono sin efecto blanco, absorbe el exceso de sebo y es muy resistente al agua, todo mientras protege contra el fotoenvejecimiento con su tecnología Sunsitive®. Ideal para una rutina diaria completa, este pack está diseñado para pieles sensibles y todos los tipos de piel. ¡Consigue una tez impecable, juvenil y perfectamente protegida contra los rayos UV!</t>
  </si>
  <si>
    <t>Avene</t>
  </si>
  <si>
    <t>Vitamina Cg Serum + Solar Fluido Mat Perfect</t>
  </si>
  <si>
    <t>1 frasco de Sérum Vitamina Cg de 30 ml, 1 frasco de Protector Solar Fluido Mat Perfect SPF50+ Color de 50 ml.</t>
  </si>
  <si>
    <t>Pack de Sérum y Protector Solar Facial</t>
  </si>
  <si>
    <t>80 ml</t>
  </si>
  <si>
    <t>avene, serum vitamina c, protector solar, spf50, facial, antiedad, antimanchas, acabado mate, piel sensible, pack, cuidado de la piel</t>
  </si>
  <si>
    <t>Sérum corrector e iluminador, Protector solar con color SPF50+, Acabado mate y unificante, Fórmula con 94% ingredientes naturales, Resistente al agua, Para piel sensible, Tecnología Sunsitive®</t>
  </si>
  <si>
    <t>pack avene serum protector solar, vitamina c avene, fluido solar con color, protector solar mate spf50, serum antimanchas, cuidado facial diario, avene vitamina cg, solar fluido mat perfect</t>
  </si>
  <si>
    <t>Pack Avene: Sérum Vitamina Cg + Protector Solar SPF50+ Mate</t>
  </si>
  <si>
    <t>Sérum: Base acuosa con Vitamina Cg (Ascorbyl Glucoside), Niacinamida, Bakuchiol y un 94% de ingredientes de origen natural. Protector Solar: Filtros solares de amplio espectro (Methylene Bis-Benzotriazolyl Tetramethylbutylphenol [Nano], Bis-Ethylhexyloxyphenol Methoxyphenyl Triazine, etc.), sílice para efecto mate, pigmentos minerales (óxidos de hierro y dióxido de titanio) para el tinte, y Agua Termal de Avene para calmar la piel.</t>
  </si>
  <si>
    <t>Pack Avene con Sérum Vitamina Cg para corregir arrugas y manchas, y Protector Solar SPF50+ con color y acabado mate. Protección solar avanzada y tratamiento antiedad en uno. Ideal para todo tipo de piel.</t>
  </si>
  <si>
    <t>TRATAMIENTOS Y DERMOCOSMETICA</t>
  </si>
  <si>
    <t>Cuidado de la piel|hidratación de la piel</t>
  </si>
  <si>
    <t>056-001-007</t>
  </si>
  <si>
    <t>Para una rutina facial completa: 1. Por la mañana: Limpia y seca tu rostro. Aplica unas gotas del Sérum Vitamina Cg en rostro, cuello y escote, masajeando hasta su absorción. Luego, aplica el Protector Solar Ultra Mat SPF 50+ uniformemente en rostro y cuello 20 minutos antes de la exposición al sol. Reaplica cada 2-3 horas si es necesario. 2. Por la noche: Limpia tu rostro. Aplica el Sérum Vitamina Cg antes de tu crema hidratante habitual.</t>
  </si>
  <si>
    <t>Piel sensible, mixta o grasa</t>
  </si>
  <si>
    <t>Vitamina Cg (1.8%): Potente antioxidante que ilumina y protege la piel. Niacinamida (3%): Mejora la barrera cutánea y reduce manchas. Bakuchiol (1.5%): Alternativa natural al retinol que corrige arrugas. Complejo Sunsitive® Protection: Sistema de filtros de amplio espectro para protección UVA-UVB. Agua Termal de Avène: Calma, suaviza y reduce la irritación en pieles sensibles.</t>
  </si>
  <si>
    <t>¡Transforma tu rutina de belleza con este pack esencial de Avène! Descubre el poder del Sérum Vitamina Cg de 30ML, un corrector e iluminador que combate activamente los signos del envejecimiento como manchas, arrugas y flacidez. Su fórmula con un 94% de ingredientes naturales, enriquecida con Vitamina Cg, Niacinamida y Bakuchiol, ofrece una textura ligera que mejora la luminosidad y suavidad desde la primera aplicación, ideal incluso para pieles sensibles. Complétalo con el Protector Solar Ultra Mat SPF 50+ de 50 ml, específicamente formulado para pieles sensibles, mixtas o grasas. Su tecnología Sunsitive® Protection garantiza una defensa solar de muy alto espectro y fotoestable, mientras que su efecto matificante dura hasta 12 horas, dejando un acabado fresco y sin brillos. La adición de Agua Termal de Avène calma y suaviza. Juntos, forman el dúo perfecto para una piel radiante, protegida y visiblemente rejuvenecida. ¡Consigue una piel más sana, uniforme y protegida todos los días!</t>
  </si>
  <si>
    <t>Vitamina Cg Sérum + Solar Ultra Mat</t>
  </si>
  <si>
    <t>1 frasco de Sérum Corrector e Iluminador Avène Vitamina Cg 30ML, 1 tubo de Protector Solar Facial Avène Solar Ultra Mat SPF 50+ 50 ml</t>
  </si>
  <si>
    <t>avène, serum vitamina c, protector solar, facial, antiedad, matificante, spf 50+, piel sensible, antioxidante, rutina facial</t>
  </si>
  <si>
    <t>Sérum corrector e iluminador, Protector solar de muy alta protección SPF 50+, Efecto matificante de 12 horas, Fórmula con 94% ingredientes naturales, Resistente al agua, Textura ligera no grasa, Para pieles sensibles, mixtas o grasas</t>
  </si>
  <si>
    <t>pack avène, serum vitamina c avène, protector solar facial matificante, bloqueador solar spf 50, cuidado facial piel sensible, rutina antiedad, avène vitamina cg, solar ultra mat, crema con vitamina c, protector solar sin brillo</t>
  </si>
  <si>
    <t>Pack Avène: Sérum Vitamina Cg + Protector Solar SPF 50+ Matificante</t>
  </si>
  <si>
    <t>Sérum: Agua, Vitamina Cg (Ascorbil Glucósido), Niacinamida, Bakuchiol, y otros ingredientes naturales en un 94%. Protector Solar: Sistema de filtros Sunsitive® Protection (Methylene Bis-Benzotriazolyl Tetramethylbutylphenol [Nano], Bis-Ethylhexyloxyphenol Methoxyphenyl Triazine, etc.), Agua Termal de Avène, Silica, y agentes matificantes. Fórmulas diseñadas para ser respetuosas con la piel sensible y el medio ambiente.</t>
  </si>
  <si>
    <t>Pack Avène con Sérum Vitamina Cg 30ML y Protector Solar Ultra Mat SPF 50+ 50ml. Combate arrugas y manchas mientras proteges tu piel del sol con un acabado matificante. Ideal para piel sensible, mixta o grasa.</t>
  </si>
  <si>
    <t>Sin perfume</t>
  </si>
  <si>
    <t>057-001-007</t>
  </si>
  <si>
    <t>1. Para el Sérum Vitamina Cg: Limpia y seca tu rostro. Usa la pipeta para aplicar unas gotas en rostro, cuello y escote, masajeando hasta absorber. Usa mañana y noche antes de la crema hidratante. 2. Para el Protector Solar Fluido Mineral: Antes de la exposición al sol, agita el envase y aplica generosamente en el rostro de manera uniforme.</t>
  </si>
  <si>
    <t>Piel sensible</t>
  </si>
  <si>
    <t>Vitamina Cg (1.8%): Potente antioxidante que ilumina y protege la piel, Niacinamida (3%): Mejora la barrera cutánea y reduce manchas, Bakuchiol (1.5%): Alternativa natural al retinol que corrige arrugas sin irritar, Complejo Mineral (Óxido de Zinc): Protección solar física de amplio espectro para pieles sensibles.</t>
  </si>
  <si>
    <t>¡Transforma y protege tu piel con este pack esencial de Avene! Este combo incluye el Sérum Vitamina Cg de 30ML, un corrector e iluminador que combate manchas, arrugas y flacidez con una fórmula rica en antioxidantes como Vitamina Cg, Niacinamida y Bakuchiol, ofreciendo un 94% de ingredientes naturales para una piel más suave y radiante en 15 días. Junto a él, el Protector Solar Fluido Mineral SPF 50+ de 40ML, con filtros 100% minerales, textura ligera y acabado mate, ofrece protección de amplio espectro UVB-UVA muy resistente al agua, ideal para pieles sensibles e intolerantes. ¡La dupla perfecta para un cuidado facial completo, eficaz y respetuoso!</t>
  </si>
  <si>
    <t>Vitamina Cg Serum + Solar Fluido Mineral</t>
  </si>
  <si>
    <t>1 frasco de Avene Vitamina Cg Serum 30ML, 1 frasco de Avene Solar Fluido Mineral SPF 50+ 40 ML Sin Color.</t>
  </si>
  <si>
    <t>70 mL</t>
  </si>
  <si>
    <t>Sin Color</t>
  </si>
  <si>
    <t>avene, serum vitamina c, protector solar mineral, antiedad, antimanchas, piel sensible, spf 50+, fluido, antioxidante</t>
  </si>
  <si>
    <t>Sérum corrector e iluminador, Protector solar de amplio espectro, Fórmula con 94% ingredientes naturales, Filtros 100% minerales, Textura ligera y de rápida absorción, Resistente al agua, Acabado mate, Sin perfume, Para piel sensible</t>
  </si>
  <si>
    <t>pack avene, serum vitamina c avene, protector solar mineral avene, cuidado facial, antiedad, antimanchas, spf 50, fluido solar, piel sensible, sérum iluminador</t>
  </si>
  <si>
    <t>Pack Avene: Sérum Vitamina Cg + Protector Solar Mineral SPF50+</t>
  </si>
  <si>
    <t>Sérum: Agua termal de Avene, Vitamina Cg (Ascorbil Glucósido), Niacinamida, Bakuchiol, y otros ingredientes naturales. Protector Solar: Agua termal de Avene, Óxido de Zinc (filtro mineral), emolientes y agentes texturizantes para una aplicación fluida y acabado mate.</t>
  </si>
  <si>
    <t>Pack Avene con Sérum Vitamina Cg para corregir arrugas y manchas, y Protector Solar Mineral SPF50+ para piel sensible. Combate el envejecimiento y protege diariamente. ¡Resultados visibles en 15 días!</t>
  </si>
  <si>
    <t>061-001-007</t>
  </si>
  <si>
    <t>Para una rutina facial completa de día: 1. Por la mañana, limpia y seca tu rostro. 2. Aplica el Sérum Vitamina Cg con la pipeta, masajeando en rostro, cuello y escote hasta su absorción. 3. Agita el envase del Protector Solar Fluido Mineral con Color. 4. Aplica generosamente el protector solar en el rostro de manera uniforme antes de cualquier exposición al sol. 5. Complementa por la noche solo con el sérum, antes de tu crema hidratante.</t>
  </si>
  <si>
    <t>Vitamina Cg (1.8%): Potente antioxidante que ilumina y protege la piel, Niacinamida (3%): Mejora la barrera cutánea y reduce manchas, Bakuchiol (1.5%): Alternativa natural al retinol que corrige arrugas sin irritar, Complejo Mineral (Óxido de Zinc y Dióxido de Titanio): Protección física de amplio espectro contra rayos UVA/UVB, Agua Termal de Avène: Calma y suaviza la piel sensible.</t>
  </si>
  <si>
    <t>¡Transforma y protege tu piel con este pack esencial de Avène! Descubre el Pack Avène que combina el poder corrector del Sérum Vitamina Cg con la protección mineral de alta tolerancia del Fluido Solar con Color. El Sérum Vitamina Cg de 30ml es un tratamiento iluminador y antioxidante formulado con un 1.8% de Vitamina Cg, 3% de Niacinamida y 1.5% de Bakuchiol, que reduce visiblemente manchas, arrugas y flacidez, mejorando la textura y luminosidad en solo 15 días. Su fórmula contiene un 94% de ingredientes naturales y es ideal para pieles sensibles. El Protector Solar Fluido Mineral con Color SPF50+ de 40ml ofrece una protección física de amplio espectro con un complejo 100% mineral, resistente al agua y con un acabado mate sin marcas blancas, diseñado específicamente para piel sensible, reactiva e intolerante. Juntos, forman la rutina diaria perfecta para una piel radiante, juvenil y perfectamente protegida. ¡Consigue una piel más suave, uniforme y defendida de los signos del tiempo y el sol!</t>
  </si>
  <si>
    <t>Femenino</t>
  </si>
  <si>
    <t>Vitamina Cg Sérum + Solar Fluido Mineral</t>
  </si>
  <si>
    <t>1 frasco de Sérum Correcto Avène Vitamina Cg 30ml, 1 frasco de Protector Solar Avène Fluido Mineral con Color SPF50+ 40ml.</t>
  </si>
  <si>
    <t>70 ml</t>
  </si>
  <si>
    <t>pack avène, serum vitamina c, protector solar mineral, piel sensible, antiedad, antimanchas, protección solar facial, rutina facial, antioxidante, bakuchiol</t>
  </si>
  <si>
    <t>Sérum con Vitamina Cg, Niacinamida y Bakuchiol, Protector solar físico SPF50+, Textura ligera y fluida, Fórmula para piel sensible, Resistente al agua, Acabado mate, Sin perfume, Envase con pipeta</t>
  </si>
  <si>
    <t>pack avène vitamina c, serum y protector solar, avène vitamina cg serum, protector solar avène color, rutina facial piel sensible, protector solar mineral spf50, sérum antimanchas, crema antiedad avène, bloqueador solar facial, tratamiento facial diario</t>
  </si>
  <si>
    <t>Pack Avène Sérum Vitamina Cg + Protector Solar Mineral SPF50+</t>
  </si>
  <si>
    <t>Sérum: Agua, Vitamina Cg (Ascorbil Glucósido), Niacinamida, Bakuchiol, y otros ingredientes naturales (94%). Protector Solar: Óxido de Zinc [Nano], Agua Termal de Avène, Dióxido de Titanio [Nano], emolientes y agentes matificantes. El sérum combina antioxidantes y alternativas al retinol para corregir signos de edad. El protector utiliza filtros minerales para una protección física de alta tolerancia.</t>
  </si>
  <si>
    <t>Pack Avène con Sérum Vitamina Cg 30ml y Protector Solar Mineral SPF50+ 40ml. Combate arrugas y manchas mientras proteges tu piel sensible. Rutina completa antiedad y de protección solar de alta tolerancia.</t>
  </si>
  <si>
    <t>Este pack contiene: 1 x Avène Vitamina Cg Sérum 30ml, 1 x Avène Solar Fluido Mineral con Color SPF50+ 40ml.</t>
  </si>
  <si>
    <t>066-001-007</t>
  </si>
  <si>
    <t>Antiedad, Facial, Antiarrugas</t>
  </si>
  <si>
    <t>1. Aplica 1 o 2 gotas del sérum en la punta de los dedos. 2. Extiende suavemente sobre el rostro limpio y seco, incluyendo el contorno de ojos, cuello y escote. 3. Puedes usarlo por la mañana y/o por la noche. 4. Úsalo solo o antes de tu crema hidratante o tratamiento habitual.</t>
  </si>
  <si>
    <t>Ácido Hialurónico (1.5%): Hidrata y rellena la piel desde el interior, Niacinamida (6%): Mejora la barrera cutánea y reduce signos de envejecimiento, Agua Termal de Avène: Calma y suaviza la piel sensible, Glicerina: Atrae y retiene humedad en la piel.</t>
  </si>
  <si>
    <t>¡Descubre el poder de la juventud con el Pack Doble de Sérum Avène Hyaluron Activ B3! Este pack incluye dos unidades del revolucionario sérum facial concentrado en un 1.5% de Ácido Hialurónico puro (de alto y bajo peso molecular) y un 6% de Niacinamida (Vitamina B3). Su fórmula minimalista de solo 8 ingredientes actúa directamente sobre la causa del envejecimiento cutáneo, ayudando a prolongar la vida de las células de la piel. Especialmente formulado para pieles sensibles y sin perfume, ofrece un efecto tensor visible desde los primeros 15 días de uso, logrando una piel más rellena, firme, elástica y con arrugas reducidas. Su textura ligera es apta para todo el rostro, incluyendo la delicada zona del contorno de ojos. ¡Consigue una eficacia máxima en su forma más pura y ahorra con este práctico pack doble!</t>
  </si>
  <si>
    <t>Hyaluron Activ B3 Serum</t>
  </si>
  <si>
    <t>2 frascos de sérum facial Avène Hyaluron Activ B3.</t>
  </si>
  <si>
    <t>Sérum facial antiedad</t>
  </si>
  <si>
    <t>2 pzas</t>
  </si>
  <si>
    <t>sérum antiedad, ácido hialurónico, niacinamida, avène, piel firme, reducir arrugas, facial, tratamiento, piel sensible</t>
  </si>
  <si>
    <t>Concentrado en Ácido Hialurónico 1.5%, Concentrado en Niacinamida 6%, Fórmula minimalista (8 ingredientes), Sin perfume, Efecto tensor, Probado en pieles sensibles, Apto para contorno de ojos</t>
  </si>
  <si>
    <t>sérum avène, hyaluron activ b3, ácido hialurónico puro, niacinamida, antiedad, antiarrugas, sérum facial, tratamiento piel, pack doble, oferta sérum</t>
  </si>
  <si>
    <t>Pack Sérum Avène Hyaluron Activ B3 - Antiedad x2 Unidades</t>
  </si>
  <si>
    <t>Agua Termal de Avène (Avène Aqua), Niacinamida, Glicerina, Pentilenglicol, Hialuronato de Sodio (Ácido Hialurónico), Adenosina, Ácido Cítrico, Benzoato de Sodio. Ingredientes que hidratan en profundidad, mejoran la firmeza, calman la piel y actúan contra los signos del envejecimiento.</t>
  </si>
  <si>
    <t>Laboratorios dermatológicos Avène</t>
  </si>
  <si>
    <t>Pack con 2 sérums Avène Hyaluron Activ B3. Concentrado en Ácido Hialurónico y Niacinamida para reducir arrugas y dar firmeza. Fórmula minimalista para todo tipo de piel, incluso sensible. ¡Oferta especial!</t>
  </si>
  <si>
    <t>Cuidado Facial</t>
  </si>
  <si>
    <t>Este pack contiene 2 unidades del sérum facial Avène Hyaluron Activ B3.</t>
  </si>
  <si>
    <t>069-001-007</t>
  </si>
  <si>
    <t>1. Limpia y seca tu rostro antes de aplicar el sérum. 2. Usa la pipeta para depositar unas gotas en la palma de tu mano. 3. Aplica en rostro, cuello y escote, masajeando suavemente hasta su absorción. 4. Úsalo por la mañana y noche antes de tu crema hidratante. 5. No olvides complementar con protector solar durante el día.</t>
  </si>
  <si>
    <t>Vitamina Cg (1.8%): Potente antioxidante que ilumina y protege la piel, Niacinamida (3%): Mejora la barrera cutánea, regenera la piel y reduce manchas, Bakuchiol (1.5%): Alternativa natural al retinol, corrige arrugas sin irritar, 94% de Ingredientes Naturales: Fórmula respetuosa con la piel y el medio ambiente.</t>
  </si>
  <si>
    <t>¡Descubre el poder de la luminosidad y la corrección con el Pack Avene Vitamina Cg Serum 30ML (x2)! Este pack incluye dos unidades del revolucionario sérum corrector e iluminador de Avene, diseñado específicamente para combatir los signos visibles del envejecimiento como manchas, arrugas y flacidez. Su fórmula está enriquecida con un poderoso complejo antioxidante de Vitamina Cg estabilizada, Niacinamida y Bakuchiol, un activo natural que actúa como alternativa al retinol. Con un 94% de ingredientes de origen natural y una textura ligera de rápida absorción, es ideal incluso para las pieles más sensibles. Aplica por la mañana y noche para notar en 15 días una piel más suave, rellena, uniforme y radiante. ¡Tu rutina antiedad más completa y efectiva al mejor precio!</t>
  </si>
  <si>
    <t>Vitamina Cg Serum</t>
  </si>
  <si>
    <t>2 frascos de sérum Avene Vitamina Cg de 30 ml cada uno, cada uno con pipeta dosificadora.</t>
  </si>
  <si>
    <t>Sérum facial con vitamina C</t>
  </si>
  <si>
    <t>60 ml</t>
  </si>
  <si>
    <t>sérum vitamina C, antiedad, iluminador, corrector manchas, piel sensible, bakuchiol, niacinamida, antioxidante, cuidado facial, Avene</t>
  </si>
  <si>
    <t>Corrector e iluminador, Fórmula con 94% ingredientes naturales, Textura ligera de rápida absorción, Ideal para piel sensible, Combate manchas, arrugas y flacidez</t>
  </si>
  <si>
    <t>avene vitamina cg serum, sérum vitamina c, sérum antiedad, sérum iluminador, corrector de manchas, bakuchiol, niacinamida, piel sensible, pack sérum, oferta sérum facial</t>
  </si>
  <si>
    <t>Pack Avene Vitamina Cg Serum x2 - Sérum Antiedad Piel Sensible</t>
  </si>
  <si>
    <t>Agua, Glicerina, Vitamina Cg (Ascorbil Glucósido 1.8%), Niacinamida (3%), Bakuchiol (1.5%), y otros ingredientes de origen natural. La Vitamina Cg ilumina y protege, la Niacinamida refuerza la barrera y el Bakuchiol actúa como retinol natural para corregir arrugas.</t>
  </si>
  <si>
    <t>Pack con 2 sérum Avene Vitamina Cg 30ml. Fórmula correctora e iluminadora con 94% ingredientes naturales, ideal para piel sensible. Combate arrugas, manchas y flacidez. ¡Resultados en 15 días!</t>
  </si>
  <si>
    <t>Este pack contiene 2 unidades de Avene Vitamina Cg Serum de 30ML cada una.</t>
  </si>
  <si>
    <t>071-001-007</t>
  </si>
  <si>
    <t>Antiedad, Facial, Antimanchas</t>
  </si>
  <si>
    <t>1. Limpia y seca tu rostro, cuello y escote. 2. Para el Sérum Hyaluron Activ B3: Aplica 1-2 gotas 1 o 2 veces al día, solo o antes de tu crema habitual. 3. Para el Sérum Vitamina Cg: Usa la pipeta para aplicar unas gotas por la mañana y noche, masajeando suavemente hasta su absorción. 4. Complementa con protector solar durante el día, especialmente cuando uses el sérum de Vitamina C.</t>
  </si>
  <si>
    <t>Ácido Hialurónico (1.5%): Hidrata y rellena arrugas al retener agua en la piel. Niacinamida (6% en Hyaluron, 3% en Vitamina Cg): Mejora la barrera cutánea, reduce manchas y regenera. Vitamina Cg (1.8%): Potente antioxidante que ilumina y protege contra el daño ambiental. Bakuchiol (1.5%): Alternativa natural al retinol, corrige arrugas sin irritar. Agua Termal de Avène: Calma, suaviza y reduce la sensibilidad de la piel.</t>
  </si>
  <si>
    <t>¡Descubre la sinergia perfecta para una piel radiante y rejuvenecida! Este pack exclusivo combina dos sérums de alta eficacia de los Laboratorios Avène: el Sérum Hyaluron Activ B3 y el Sérum Vitamina Cg. El Hyaluron Activ B3 es un concentrado de ácido hialurónico puro (1.5%) y niacinamida (6%) que actúa sobre la causa del envejecimiento, alargando la vida de las células. Su fórmula minimalista de solo 8 ingredientes ofrece un efecto tensor, logrando en 15 días una piel más firme, elástica y con arrugas reducidas. Por su parte, el Sérum Vitamina Cg, con un 94% de ingredientes naturales, es un corrector e iluminador que combate manchas, arrugas y flacidez gracias a su potente combinación de Vitamina Cg (1.8%), Niacinamida (3%) y Bakuchiol (1.5%). Ambos productos, sin perfume y probados en pieles sensibles, ofrecen una textura ligera de rápida absorción. ¡La dupla ideal para un cuidado facial avanzado, seguro y visiblemente efectivo!</t>
  </si>
  <si>
    <t>Hyaluron Activ B3 + Vitamina Cg Pack</t>
  </si>
  <si>
    <t>1 frasco de Sérum Avène Hyaluron Activ B3 de 30 ml, 1 frasco de Sérum Avène Vitamina Cg de 30 ml.</t>
  </si>
  <si>
    <t>Pack de Sérums Faciales Antiedad</t>
  </si>
  <si>
    <t>2 pzas (60 ml en total)</t>
  </si>
  <si>
    <t>avène, sérum, ácido hialurónico, vitamina c, antiedad, antimanchas, niacinamida, bakuchiol, piel sensible, facial, tratamiento, pack, oferta</t>
  </si>
  <si>
    <t>Sin perfume, Probado en pieles sensibles, Fórmula minimalista, Textura ligera de rápida absorción, Con Agua Termal de Avène, Envase con pipeta</t>
  </si>
  <si>
    <t>pack avène sérum, avène hyaluron activ b3, avène vitamina cg, sérum antiedad, sérum para manchas, tratamiento facial piel sensible, ácido hialurónico y vitamina c, niacinamida sérum, bakuchiol, oferta sérums avène</t>
  </si>
  <si>
    <t>Pack Sérums Avène: Hyaluron B3 + Vitamina Cg - Antiedad</t>
  </si>
  <si>
    <t>Agua Termal de Avène (calmante), Ácido Hialurónico de alto y bajo peso molecular (hidratante y rellenador), Niacinamida (reparadora y uniformizante), Vitamina Cg (antioxidante e iluminadora), Bakuchiol (renovador celular suave), Glicerina (humectante). Fórmulas diseñadas para máxima tolerancia.</t>
  </si>
  <si>
    <t>Laboratorios Dermatológicos Avène</t>
  </si>
  <si>
    <t>Pack con 2 sérums Avène: Hyaluron Activ B3 (ácido hialurónico) y Vitamina Cg. Combate arrugas, manchas y flacidez. Ideal para piel sensible. Textura ligera y sin perfume. ¡Resultados en 15 días!</t>
  </si>
  <si>
    <t>Este pack contiene: 1 Sérum Avène Hyaluron Activ B3 y 1 Sérum Avène Vitamina Cg de 30ML.</t>
  </si>
  <si>
    <t>087-001-003</t>
  </si>
  <si>
    <t>Facial, Limpiadores, Hidratante</t>
  </si>
  <si>
    <t>1. Para el Gel Micelar: Aplica sobre el rostro húmedo, masajea suavemente y aclara con abundante agua. 2. Para la Solución Micelar: Impregna un disco desmaquillante, deslízalo por rostro, cuello y escote para retirar impurezas y maquillaje. No requiere aclarado.</t>
  </si>
  <si>
    <t>Extracto de Edelweiss: Potente antioxidante que protege e hidrata la piel, Prebióticos: Favorecen el equilibrio de la flora cutánea y la defensa natural.</t>
  </si>
  <si>
    <t>¡Transforma tu rutina de limpieza con este pack exclusivo de Martiderm! Este combo incluye el Gel Micelar Limpiador de 200ml y la Solución Micelar Limpiadora 3 en 1 de 300ml. El gel, de uso diario, limpia y elimina suavemente las impurezas y el maquillaje sin resecar, dejando la piel fresca e hidratada, ideal para cara, cuello y escote. La solución micelar ofrece una limpieza facial efectiva y suave en tres pasos: desmaquilla, limpia e hidrata. Ambos productos están enriquecidos con extracto de Edelweiss, un antioxidante natural que protege la piel, y prebióticos que equilibran su flora. La combinación perfecta para una limpieza profunda y un cuidado respetuoso, dejando tu piel radiante y preparada para los siguientes pasos de tu ritual de belleza. ¡Consigue una piel impecable con la doble acción de Martiderm!</t>
  </si>
  <si>
    <t>Martiderm</t>
  </si>
  <si>
    <t>1 frasco de Gel Micelar Limpiador Martiderm de 200ml, 1 frasco de Solución Micelar Limpiadora Martiderm de 300ml.</t>
  </si>
  <si>
    <t>Pack de Limpiadores Faciales Micelares</t>
  </si>
  <si>
    <t>200 ml + 300 ml</t>
  </si>
  <si>
    <t>limpieza facial, micelar, desmaquillante, gel limpiador, solución micelar, edelweiss, prebióticos, piel sensible, rutina facial</t>
  </si>
  <si>
    <t>Limpieza 3 en 1, Con extracto de Edelweiss, Con prebióticos, Sin aclarado (solución), Para uso diario, Antioxidante, Hidratante</t>
  </si>
  <si>
    <t>pack martiderm, gel micelar, solución micelar, limpiador facial, desmaquillante, cuidado de la piel, rutina limpieza, edelweiss, prebióticos</t>
  </si>
  <si>
    <t>Pack Limpiadores Martiderm: Gel y Solución Micelar con Edelweiss</t>
  </si>
  <si>
    <t>Formulados con extracto de Edelweiss (Leontopodium alpinum), conocido por sus propiedades antioxidantes que ayudan a proteger la piel del estrés ambiental, y prebióticos que favorecen el equilibrio de la microbiota cutánea, reforzando su barrera natural.</t>
  </si>
  <si>
    <t>Pack Martiderm con Gel y Solución Micelar. Limpia, desmaquilla e hidrata tu piel con extracto de Edelweiss y prebióticos. Ideal para todo tipo de pieles. ¡Completa tu rutina facial!</t>
  </si>
  <si>
    <t>Este pack contiene: 1 unidad de Gel Micelar Limpiador Martiderm de 200ml y 1 unidad de Solución Micelar Limpiadora Martiderm de 300ml.</t>
  </si>
  <si>
    <t>088-001-003</t>
  </si>
  <si>
    <t>1. Para el Gel Micelar: Aplica sobre el rostro húmedo, masajea suavemente y aclara con abundante agua. 2. Para el Desmaquillante Bifásico: Agita el envase para mezclar las dos fases, empapa un disco de algodón y retira el maquillaje de los ojos con movimientos suaves en la dirección de las pestañas.</t>
  </si>
  <si>
    <t>Extracto de Flor Edelweiss: Antioxidante y calmante natural que protege la piel, Prebióticos: Equilibran la microbiota cutánea y refuerzan las defensas de la piel, Bisabolol (en el desmaquillante): Ingrediente calmante que reduce la irritación y es respetuoso con la zona ocular.</t>
  </si>
  <si>
    <t>¡Descubre la rutina de limpieza facial definitiva! Este pack exclusivo Martiderm combina dos productos esenciales para una piel impecable. El Gel Micelar Limpiador de 200ml, en formato gel de uso diario, elimina suavemente las impurezas y el maquillaje sin resecar, dejando la piel del rostro, cuello y escote limpia, refrescada e hidratada. Su fórmula es apta incluso para pieles sensibles. Complementa tu rutina con el Desmaquillante de Ojos Bifásico de 125ml, una solución innovadora que elimina hasta el maquillaje waterproof sin irritar, picar o escocer. Este desmaquillante no solo limpia en profundidad, sino que también hidrata, protege la epidermis, es antioxidante, calmante y favorece la regeneración de la piel, siendo ultra respetuoso con las pestañas. Ambos productos están enriquecidos con Extracto de Edelweiss y Prebióticos. ¡Consigue una limpieza profunda, hidratación y protección en un solo pack!</t>
  </si>
  <si>
    <t>1 frasco de Gel Micelar Limpiador Martiderm de 200ml, 1 frasco de Desmaquillante de Ojos Bifásico Martiderm de 125ml.</t>
  </si>
  <si>
    <t>Pack de limpieza facial</t>
  </si>
  <si>
    <t>200ml + 125ml</t>
  </si>
  <si>
    <t>limpieza facial, gel micelar, desmaquillante ojos, martiderm, pack, edelweiss, prebioticos, piel sensible, maquillaje waterproof</t>
  </si>
  <si>
    <t>Limpia sin resecar, Elimina maquillaje waterproof, Hidratante, Antioxidante, Calmante, Para todo tipo de piel</t>
  </si>
  <si>
    <t>pack martiderm, gel micelar, desmaquillante ojos, limpieza facial, rutina de limpieza, martiderm limpiador, desmaquillante bifasico, productos martiderm, limpieza y desmaquillante</t>
  </si>
  <si>
    <t>Pack Limpieza Facial Martiderm - Gel Micelar + Desmaquillante Ojos</t>
  </si>
  <si>
    <t>El Gel Micelar contiene Extracto de Flor Edelweiss (antioxidante y calmante) y Prebióticos (equilibran la microbiota). El Desmaquillante Bifásico contiene además Bisabolol (calmante y antiirritante). Ambos formulados para limpiar, hidratar y proteger la piel sin agredirla.</t>
  </si>
  <si>
    <t>Pack Martiderm con Gel Micelar Limpiador 200ml y Desmaquillante de Ojos Bifásico 125ml. Limpia, hidrata y elimina hasta el maquillaje waterproof. Con Edelweiss y Prebióticos. Para todo tipo de piel.</t>
  </si>
  <si>
    <t>TRATAMIENTOS Y DERMOCOSMETICA &gt; LIMPIEZA</t>
  </si>
  <si>
    <t>Este pack contiene: 1 unidad de Martiderm Gel Micelar Limpiador de 200ml y 1 unidad de Martiderm Desmaquillante de Ojos Bifásico de 125ml.</t>
  </si>
  <si>
    <t>089-001-003</t>
  </si>
  <si>
    <t>Para el Gel Micelar: 1. Aplica sobre el rostro húmedo. 2. Masajea suavemente con movimientos circulares. 3. Aclara con abundante agua. Usa diariamente. Para la Pure-Mask: 1. Aplica una capa uniforme sobre la piel limpia y seca. 2. Deja actuar durante 20 minutos. 3. Aclara con abundante agua. Usa 1 o 2 veces por semana, preferiblemente después de exfoliar.</t>
  </si>
  <si>
    <t>Piel Normal a Grasa</t>
  </si>
  <si>
    <t>Extracto de Flor Edelweiss (protege y calma la piel), Prebióticos (refuerzan la barrera cutánea), Ácido salicílico (exfolia y desobstruye poros), Centella asiática (calma y repara), Hamamelis (acción astringente y seborreguladora).</t>
  </si>
  <si>
    <t>¡Descubre la combinación perfecta para una piel impecable! Este pack Martiderm incluye el Gel Micelar Limpiador de 200ml y la mascarilla Pure-Mask de 75ml. El gel micelar, con extracto de Flor Edelweiss y prebióticos, limpia suavemente sin resecar, eliminando impurezas y maquillaje mientras hidrata. La mascarilla purificante Pure-Mask, formulada con ácido salicílico, centella asiática y hamamelis, ofrece una limpieza profunda semanal, regula el sebo, reduce el tamaño de los poros y minimiza imperfecciones para una piel más suave, uniforme y luminosa. Ideal para una rutina de cuidado facial completa y efectiva. ¡Consigue una piel fresca, limpia y radiante con este dúo dinámico!</t>
  </si>
  <si>
    <t>Gel Micelar + Pure-Mask</t>
  </si>
  <si>
    <t>1 frasco de Gel Micelar Limpiador Martiderm de 200ml, 1 tubo de mascarilla purificante Pure-Mask Martiderm de 75ml.</t>
  </si>
  <si>
    <t>200ml + 75ml</t>
  </si>
  <si>
    <t>limpieza facial, gel micelar, mascarilla purificante, piel grasa, acné, poros, Martiderm, skincare</t>
  </si>
  <si>
    <t>Limpieza diaria suave, Limpieza profunda semanal, Hidratación, Regulación sebácea, Reducción del tamaño del poro, Sin alcohol, Apto para pieles sensibles</t>
  </si>
  <si>
    <t>pack martiderm, gel micelar, mascarilla purificante, limpieza facial, piel grasa, acne, rutina skincare, pure mask, martiderm oferta</t>
  </si>
  <si>
    <t>Pack Martiderm Gel Micelar + Pure-Mask - Limpieza Facial</t>
  </si>
  <si>
    <t>Gel Micelar: Agua, tensioactivos suaves, extracto de Flor Edelweiss (Leontopodium alpinum) con propiedades calmantes y protectoras, y prebióticos para equilibrar la microbiota cutánea. Pure-Mask: Arcilla, ácido salicílico (exfoliante y queratolítico), extracto de Centella asiática (cicatrizante y calmante), hamamelis (astringente natural), colágeno y proteoglicanos para hidratación y mejora de la textura.</t>
  </si>
  <si>
    <t>Pack especial Martiderm: Gel Micelar limpiador de 200ml + mascarilla Pure-Mask de 75ml. Limpieza diaria suave y limpieza profunda semanal para pieles mixtas, grasas o con tendencia acneica. ¡Piel limpia, fresca y radiante!</t>
  </si>
  <si>
    <t>Este pack contiene: 1 unidad de Martiderm Gel Micelar limpiador de 200ml y 1 unidad de Martiderm Pure-Mask de 75ml.</t>
  </si>
  <si>
    <t>090-001-003</t>
  </si>
  <si>
    <t>Facial, Antiedad, SolaresHacer principal</t>
  </si>
  <si>
    <t>1. Aplicar una cantidad generosa sobre el rostro, cuello y escote limpios y secos. 2. Realizar un suave masaje con movimientos circulares ascendentes hasta su total absorción. 3. Usar diariamente por la mañana, como último paso de tu rutina de cuidado facial, antes del maquillaje. 4. Reaplicar cada 2 horas si se está expuesto al sol de forma continua o después de nadar o sudar.</t>
  </si>
  <si>
    <t>Proteoglicanos: Previenen y reducen los signos del envejecimiento, aportando firmeza y elasticidad a la piel. Complejo de ácido hialurónico y silicio: Ayuda a mantener la piel con aspecto joven, fresco y uniforme, proporcionando hidratación y soporte.</t>
  </si>
  <si>
    <t>¡Protege y rejuvenece tu piel todos los días con el Pack Doble de Martiderm Proteos Screen SPF 50+! Este pack incluye dos unidades de la revolucionaria crema facial fluida con Factor de Protección Solar 50+. Su fórmula de fácil absorción y textura Cream-to-Powder no solo previene el envejecimiento cutáneo prematuro causado por el sol, sino que también ayuda a reparar los signos existentes, dejando una sensación sedosa e invisible. Ofrece una protección de amplio espectro contra rayos UVA, UVB, infrarrojos (IR) y luz azul (HEV). Enriquecida con proteoglicanos y un complejo exclusivo de ácido hialurónico y silicio, este tratamiento diario mantiene tu piel con un aspecto joven, fresco, uniforme, firme y elástico. Es el aliado perfecto, práctico y polivalente para tu rutina diaria, ideal para todas las edades y para deportistas, ya que su rápida absorción y tacto seco evitan que pique en los ojos. ¡Consigue una protección superior y un cuidado antiedad en un solo gesto!</t>
  </si>
  <si>
    <t>Proteos Screen SPF50+</t>
  </si>
  <si>
    <t>2 unidades de crema facial protectora Martiderm Proteos Screen SPF 50+, de 40ml cada una.</t>
  </si>
  <si>
    <t>Protector facial con FPS y tratamiento antiedad</t>
  </si>
  <si>
    <t>2 x 40 ml</t>
  </si>
  <si>
    <t>protector solar facial, fps 50, antiedad, amplio espectro, ácido hialurónico, proteoglicanos, textura fluida, protección uva uvb, luz azul, crema facial</t>
  </si>
  <si>
    <t>FPS 50+, Protección de amplio espectro (UVA/UVB/IR/HEV), Textura Cream-to-Powder, Rápida absorción, Tacto seco, No pica los ojos, Con proteoglicanos y ácido hialurónico</t>
  </si>
  <si>
    <t>protector solar facial martiderm, proteos screen, fps 50 crema facial, bloqueador facial antiedad, protector solar con ácido hialurónico, crema con proteccion solar, martiderm spf 50, pack protector solar, doble protector facial, crema facial fps</t>
  </si>
  <si>
    <t>Blanco</t>
  </si>
  <si>
    <t>Pack Doble Protector Facial Martiderm Proteos Screen SPF 50+ 40ml</t>
  </si>
  <si>
    <t>Fórmula que combina filtros solares de amplio espectro con activos antiedad como proteoglicanos (para firmeza y elasticidad) y un complejo de ácido hialurónico y silicio (para hidratación y uniformidad). Su base de textura fluida (Cream-to-Powder) asegura una aplicación cómoda y un acabado invisible.</t>
  </si>
  <si>
    <t>Pack con 2 protectores faciales Martiderm SPF 50+. Protección UVA/UVB/IR/luz azul + tratamiento antiedad con proteoglicanos y ácido hialurónico. Textura fluida de rápida absorción. ¡Tu defensa diaria!</t>
  </si>
  <si>
    <t>PROTECTORES SOLARES</t>
  </si>
  <si>
    <t>Productos de protección solar</t>
  </si>
  <si>
    <t>Este pack contiene 2 unidades de Martiderm Proteos Screen SPF 50+ de 40ml cada una.</t>
  </si>
  <si>
    <t>092-001-003</t>
  </si>
  <si>
    <t>Antiedad, Antiarrugas, Facial</t>
  </si>
  <si>
    <t>1. Toma una pequeña cantidad de crema usando la espátula incluida. 2. Aplica diariamente por la mañana sobre el rostro, cuello y escote. 3. Realiza un suave masaje con movimientos circulares hasta que el producto se absorba por completo.</t>
  </si>
  <si>
    <t>Epigen 145: Reprograma la piel para retrasar el envejecimiento. Hyaluronic Gold: Aumenta la producción de ácido hialurónico para hidratación y volumen. Proteum 89+: Mejora la firmeza y elasticidad de la piel.</t>
  </si>
  <si>
    <t>¡Descubre la fórmula rejuvenecedora y consigue una piel visiblemente más joven! El Pack Doble de Martiderm Epigence 145 Cream es tu aliado perfecto contra los signos de la edad. Esta crema facial de tratamiento diario está específicamente diseñada para reprogramar la piel y retrasar el envejecimiento cutáneo. Su avanzada tecnología actúa a tres niveles: reactiva la capacidad natural de regeneración celular, estimula la producción de colágeno, elastina y ácido hialurónico, y aumenta la firmeza y elasticidad. Con ingredientes como Epigen 145, Hyaluronic Gold y Proteum 89+, no solo reduce arrugas y líneas de expresión, sino que también aporta una luminosidad extraordinaria y unifica el tono de la piel. Ideal para todo tipo de piel, su textura se absorbe rápidamente sin dejar residuos grasos. ¡Invierte en tu piel y disfruta de un aspecto renovado, firme y radiante con este pack de dos unidades!</t>
  </si>
  <si>
    <t>Epigence 145 Cream</t>
  </si>
  <si>
    <t>2 frascos de crema Martiderm Epigence 145 Cream de 50ml cada uno (cada uno incluye espátula).</t>
  </si>
  <si>
    <t>Crema antiarrugas y antiedad facial</t>
  </si>
  <si>
    <t>100 ml (2 x 50 ml)</t>
  </si>
  <si>
    <t>antiedad, antiarrugas, crema facial, luminosidad, firmeza, ácido hialurónico, colágeno, elastina, Martiderm, Epigence</t>
  </si>
  <si>
    <t>Reduce arrugas, Aporta luminosidad, Aumenta firmeza y elasticidad, Estimula producción de colágeno, Unifica el tono de la piel, Para uso diario</t>
  </si>
  <si>
    <t>crema antiarrugas, Martiderm Epigence, crema antiedad, tratamiento facial, crema con ácido hialurónico, crema para piel madura, crema luminosidad, pack crema facial</t>
  </si>
  <si>
    <t>Pack Doble Crema Antiarrugas Martiderm Epigence 145 - 2x50ml</t>
  </si>
  <si>
    <t>Ingredientes inteligentes que incluyen Epigen 145 (activo que reprograma la piel), Hyaluronic Gold (complejo de ácido hialurónico para hidratación profunda) y Proteum 89+ (potenciador de firmeza y elasticidad). Formulada con vitaminas para iluminar y unificar el tono cutáneo.</t>
  </si>
  <si>
    <t>Pack con 2 cremas Martiderm Epigence 145 de 50ml. Reduce arrugas, aporta luminosidad y firmeza. Actúa estimulando colágeno y ácido hialurónico. Para todo tipo de piel. ¡Renueva tu piel!</t>
  </si>
  <si>
    <t>Este pack contiene 2 unidades de Martiderm Epigence 145 Cream de 50ml cada una.</t>
  </si>
  <si>
    <t>093-001-003</t>
  </si>
  <si>
    <t>Antiedad, Facial, Piel Madura</t>
  </si>
  <si>
    <t>1. Toma una pequeña cantidad de crema usando la espátula incluida. 2. Aplica diariamente sobre el rostro, cuello y escote. 3. Realiza un suave masaje con movimientos circulares hasta que el producto se absorba completamente.</t>
  </si>
  <si>
    <t>Piel Madura</t>
  </si>
  <si>
    <t>Phyto-Retinol (renovación celular suave), Rosa Mosqueta (regeneración e hidratación), Proteoglicanos (firmeza y elasticidad), Omega 3, 6 y 9 (nutrición y barrera protectora), Amatista (propiedades calmantes y energéticas).</t>
  </si>
  <si>
    <t>¡Descubre la luminosidad de tu piel madura con este pack duplicado! El Pack de 2 Cremas Nocturnas Martiderm Amatist Night Cream 50Ml es un tratamiento intensivo diseñado para nutrir y revitalizar la piel durante la noche. Esta crema de textura rica está formulada específicamente para pieles maduras que buscan lucir vitales y radiantes, sin necesidad de tratamientos agresivos. Su innovadora fórmula combina activos de alta eficacia como proteoglicanos para mejorar la firmeza, phyto-retinol para una renovación celular suave, aceite de rosa mosqueta para regenerar e hidratar, y una combinación de Omega 3, 6 y 9 para nutrir en profundidad y fortalecer la barrera cutánea. Aprovecha las horas de descanso para una acción reparadora máxima. ¡Invierte en tu belleza nocturna y despierta con una piel visiblemente más lisa, nutrida y llena de vida!</t>
  </si>
  <si>
    <t>Amatist Night Cream</t>
  </si>
  <si>
    <t>2 frascos de crema Martiderm Amatist Night Cream de 50 ml cada uno.</t>
  </si>
  <si>
    <t>Crema de Noche Antiedad</t>
  </si>
  <si>
    <t>100 ml</t>
  </si>
  <si>
    <t>crema noche, antiedad, piel madura, martiderm, amatist, revitalizante, phyto-retinol, rosa mosqueta</t>
  </si>
  <si>
    <t>Tratamiento nocturno, Textura rica y nutritiva, Con espátula incluida, Fórmula para piel madura, Acción revitalizante</t>
  </si>
  <si>
    <t>crema nocturna, crema para piel madura, martiderm amatist, tratamiento antiedad, crema de noche, phyto retinol, crema revitalizante, pack cremas, oferta crema facial</t>
  </si>
  <si>
    <t>Pack 2 Cremas Nocturnas Martiderm Amatist - Piel Madura</t>
  </si>
  <si>
    <t>Formulada con una combinación de activos innovadores: Proteoglicanos para mejorar la densidad y elasticidad de la piel; Phyto-Retinol, una alternativa vegetal al retinol que renueva las células de forma suave; Aceite de Rosa Mosqueta, rico en ácidos grasos y vitaminas para regenerar e hidratar; y Omega 3, 6 y 9 que nutren y reparan la barrera lipídica cutánea.</t>
  </si>
  <si>
    <t>Pack con 2 cremas nocturnas Martiderm Amatist. Tratamiento intensivo para piel madura con Proteoglicanos y Phyto-Retinol. Nutre, revitaliza y mejora la firmeza mientras duermes. ¡Compra ahora!</t>
  </si>
  <si>
    <t>2 unidades de Martiderm Amatist Night Cream de 50Ml cada una.</t>
  </si>
  <si>
    <t>094-001-003</t>
  </si>
  <si>
    <t>Antiojeras, Antiedad, Facial</t>
  </si>
  <si>
    <t>1. Aplicar suavemente una pequeña cantidad de producto sobre el contorno del ojo. 2. Realizar un suave masaje, desde el extremo exterior hasta el lagrimal. 3. Para el tratamiento de día (Eye Correct Day), masajear hasta obtener un color uniforme. 4. Para el tratamiento de noche (Eye Correct Night), masajear hasta su total absorción.</t>
  </si>
  <si>
    <t>Hemomelan KX Complex (reduce y disimula ojeras), Tetrapeptide (acción antiedad), EGCG (descongestionante y antioxidante), Vitamina E (protectora y calmante), Biosabolol (calmante y antiinflamatorio)</t>
  </si>
  <si>
    <t>¡Descubre la mirada luminosa y descansada que siempre has querido! Presentamos el Pack Doble de Martiderm Eye Correct, un tratamiento revolucionario de día y noche específicamente formulado para el contorno de ojos. Este pack incluye dos unidades completas, cada una con su fórmula dual: Eye Correct Day, una emulsión hidratante ligera con color que unifica el tono e ilumina la mirada, y Eye Correct Night, un gel-crema hidratante que trabaja mientras descansas para una mirada más fresca al despertar. Su avanzada tecnología con Hemomelan KX Complex y péptidos actúa reduciendo visiblemente bolsas y ojeras, ofreciendo un efecto descongestionante inmediato con sensación de frescor. Fabricado con ingredientes de alta eficacia como EGCG y Biosabolol, es ideal para un cuidado diario profesional en casa. ¡Consigue un contorno de ojos rejuvenecido y dile adiós a los signos de fatiga con este tratamiento completo!</t>
  </si>
  <si>
    <t>Eye Correct</t>
  </si>
  <si>
    <t>2 unidades del tratamiento Martiderm Eye Correct. Cada unidad contiene 2 productos: 1 emulsión Eye Correct Day y 1 gel-crema Eye Correct Night.</t>
  </si>
  <si>
    <t>Tratamiento para contorno de ojos</t>
  </si>
  <si>
    <t>contorno de ojos, antiojeras, anti bolsas, día y noche, tratamiento facial, piel sensible, iluminador, descongestionante</t>
  </si>
  <si>
    <t>Fórmula Day &amp; Night, Reduce bolsas y ojeras, Efecto iluminador inmediato, Textura ligera no grasa, Descongestionante y calmante, Para todo tipo de piel</t>
  </si>
  <si>
    <t>martiderm eye correct, contorno de ojos, crema para ojeras, tratamiento antiojeras, reducir bolsas ojos, cuidado ojos día y noche, cosmética facial, piel sensible</t>
  </si>
  <si>
    <t>Pack Martiderm Eye Correct - Tratamiento Día/Noche Contorno Ojos</t>
  </si>
  <si>
    <t>Emulsión y gel-crema formulados con una combinación de activos como el Hemomelan KX Complex para corregir la coloración, péptidos antiedad, antioxidantes como el EGCG del té verde, Vitamina E protectora y Biosabolol calmante. Diseñados para hidratar, iluminar y tratar los signos de fatiga en la zona del contorno ocular.</t>
  </si>
  <si>
    <t>Pack con 2 unidades de Martiderm Eye Correct. Tratamiento día y noche que reduce bolsas y ojeras, ilumina y descongestiona el contorno de ojos. Fórmula con péptidos y antioxidantes para todo tipo de piel. ¡Mirada fresca y descansada!</t>
  </si>
  <si>
    <t>Cosméticos|ojos</t>
  </si>
  <si>
    <t>Este pack contiene 2 unidades del tratamiento Martiderm Eye Correct, cada una incluye una fórmula de día y otra de noche para el contorno de ojos.</t>
  </si>
  <si>
    <t>095-001-003</t>
  </si>
  <si>
    <t>1. Agitar suavemente la ampolla antes de usar. 2. Apoyar la ampolla sobre una superficie plana y colocar el 'easy open' ejerciendo presión hacia abajo hasta oír un 'click'. 3. Retirar el 'easy open' y la parte superior de la ampolla. 4. Colocar el dosificador sobre la ampolla hasta la línea indicada. 5. Verter la mitad del contenido en la mano y aplicar sobre el rostro. 6. Conservar la ampolla restante sobre su base, colocando el tapón en el dosificador.</t>
  </si>
  <si>
    <t>Vitamina C-Tech (15%, antioxidante e iluminador), Proteum 89+ (3%, reafirmante), Ácido hialurónico (hidratante intenso), Complejo antirradicalar (protege contra la polución), Repair complex (repara el daño solar), Retinol (suaviza arrugas)</t>
  </si>
  <si>
    <t>¡Descubre el poder rejuvenecedor de la vitamina C con este pack doble! El Pack Martiderm Photo-Age Ha+ incluye 2 cajas con 10 ampollas cada una, ofreciendo un tratamiento antiedad intensivo de alta concentración. Este sérum en ampolla está formulado con un 15% de Vitamina C-Tech, un 3% de Proteum 89+ y Ácido Hialurónico de bajo peso molecular, creando una sinergia poderosa para combatir los signos del fotoenvejecimiento. Su textura fresca y de rápida absorción hidrata profundamente, ilumina el rostro, suaviza la apariencia de arrugas y manchas, y reafirma la piel gracias a su complejo antioxidante y antipolución. Ideal para prevenir y reparar el daño solar diario, logrando una piel más firme, luminosa y protegida. ¡Tu ritual diario para un cutis radiante y juvenil!</t>
  </si>
  <si>
    <t>Photo-Age Ha+</t>
  </si>
  <si>
    <t>2 cajas selladas, cada una conteniendo 10 ampollas individuales de tratamiento facial, dosificadores y tapones.</t>
  </si>
  <si>
    <t>Ampollas Antiedad con Vitamina C</t>
  </si>
  <si>
    <t>20 pzas</t>
  </si>
  <si>
    <t>ampollas, vitamina C, antiedad, ácido hialurónico, fotoenvejecimiento, antioxidante, hidratante, iluminador, Martiderm, facial</t>
  </si>
  <si>
    <t>Alta concentración de Vitamina C (15%), Contiene Proteum 89+ y Ácido Hialurónico, Textura de rápida absorción, Efecto antioxidante y antipolución, Ampolla monodosis higiénica, Tratamiento intensivo</t>
  </si>
  <si>
    <t>ampollas Martiderm, Photo Age HA, vitamina C para la cara, tratamiento antiedad, sérum vitamina C, ampollas antiedad, ácido hialurónico, reparar piel sol, piel luminosa, antiarrugas</t>
  </si>
  <si>
    <t>Pack Martiderm Photo-Age Ha+ 20 Ampollas - Antiedad Vitamina C</t>
  </si>
  <si>
    <t>Formulado con Vitamina C-Tech (antioxidante e iluminador), Proteum 89+ (complejo proteico reafirmante), Ácido Hialurónico de bajo peso molecular (hidratación profunda), Antiradical Complex (protección contra radicales libres) y Repair Complex (reparación cutánea).</t>
  </si>
  <si>
    <t>Pack con 20 ampollas Martiderm Photo-Age Ha+. Tratamiento antiedad intensivo con 15% Vitamina C, ácido hialurónico y Proteum 89+. Hidrata, ilumina, reduce arrugas y protege del daño solar. Para todo tipo de piel.</t>
  </si>
  <si>
    <t>Este pack contiene 2 cajas de Martiderm Photo-Age Ha+, cada una con 10 ampollas.</t>
  </si>
  <si>
    <t>096-001-003</t>
  </si>
  <si>
    <t>Antiedad, Antiojeras, Facial</t>
  </si>
  <si>
    <t>1. Para Eye Correct: Aplicar suavemente una pequeña cantidad sobre el contorno del ojo. Realizar un suave masaje desde el extremo exterior hasta el lagrimal. Para la versión Day, masajear hasta obtener un color uniforme. Para la versión Night, masajear hasta su total absorción. 2. Para Photo-Age Ha+: Agitar suavemente la ampolla. Colocar el easy open sobre la parte superior y presionar hasta oír un 'click'. Retirar la parte superior, colocar el dosificador y verter la mitad del contenido sobre la mano para aplicar. Conservar la ampolla restante con el tapón colocado.</t>
  </si>
  <si>
    <t>Hemomelan KX Complex (reduce y disimula ojeras), Tetrapeptide (acción antiedad), EGCG (antioxidante), Vitamina E (protectora), Biosabolol (calmante), Vitamina C-Tech (15%, ilumina y reafirma), Proteum 89+ (3%, repara y firmeza), Ácido hialurónico (hidratación intensa), Complejo antirradicalar (protección), Repair complex (reparación), Retinol (renovación celular).</t>
  </si>
  <si>
    <t>¡Transforma tu rutina de belleza con este pack exclusivo Martiderm! Descubre el poder combinado de dos tratamientos de alta eficacia. El pack incluye Martiderm Eye Correct, un tratamiento específico día y noche para el contorno de ojos que reduce visiblemente bolsas y ojeras gracias a su fórmula con Hemomelan KX Complex y Tetrapeptide, proporcionando una mirada luminosa y descansada con efecto calmante inmediato. También contiene Martiderm Photo-Age Ha+ en su presentación de 10 ampollas, un sérum antiedad intensivo con un 15% de Vitamina C-Tech, Proteum 89+ y Ácido Hialurónico que previene y repara los signos del fotoenvejecimiento, hidratando en profundidad y devolviendo la firmeza y luminosidad al rostro. Ambos productos tienen texturas de rápida absorción y son aptos para pieles sensibles. ¡Consigue una piel visiblemente rejuvenecida y protegida con este dúo de lujo!</t>
  </si>
  <si>
    <t>Eye Correct &amp; Photo-Age Ha+ Pack</t>
  </si>
  <si>
    <t>1 frasco de tratamiento Martiderm Eye Correct (formulación día y noche), 1 caja con 10 ampollas individuales de Martiderm Photo-Age Ha+.</t>
  </si>
  <si>
    <t>Pack de tratamiento facial y contorno de ojos</t>
  </si>
  <si>
    <t>ampollas vitamina C, contorno de ojos, antiedad, antiojeras, piel sensible, fotoenvejecimiento, ácido hialurónico, rutina facial, cosmética española</t>
  </si>
  <si>
    <t>Tratamiento día y noche para ojos, Fórmula con color unificador (Day), Textura gel-crema hidratante (Night), Ampolla con 15% de Vitamina C, Contiene Ácido Hialurónico, Apto para pieles sensibles, Efecto antioxidante y antipolución, Absorción rápida</t>
  </si>
  <si>
    <t>pack martiderm, eye correct, photo age, ampollas vitamina c, contorno de ojos, crema antiojeras, tratamiento antiedad, sérum facial, rutina de skincare, cosmética profesional</t>
  </si>
  <si>
    <t>Pack Martiderm Eye Correct + Photo-Age Ha+ Ampollas - Antiedad</t>
  </si>
  <si>
    <t>Eye Correct: Emulsión y gel-crema con activos como Hemomelan KX Complex (para corregir tono), Tetrapeptide (péptido antiedad), EGCG (extracto de té verde antioxidante), Vitamina E y Biosabolol (calmante). Photo-Age Ha+: Sérum acuoso con Vitamina C estabilizada (15% para luminosidad y protección), Proteum 89+ (3%, complejo proteico marino reparador), Ácido Hialurónico (hidratación profunda), Complejo Antirradicalar (protección ambiental) y Repair Complex (con retinol, para renovación nocturna).</t>
  </si>
  <si>
    <t>Pack exclusivo Martiderm con Eye Correct para ojeras y Photo-Age Ha+ ampollas con Vitamina C. Tratamiento completo antiedad y contorno de ojos para una piel luminosa, hidratada y sin signos de fatiga. ¡Resultados visibles!</t>
  </si>
  <si>
    <t>Este pack contiene: 1 unidad de Martiderm Eye Correct (tratamiento día y noche para contorno de ojos) y 1 caja de Martiderm Photo-Age Ha+ con 10 ampollas (antiedad intensivo).</t>
  </si>
  <si>
    <t>088-001-006</t>
  </si>
  <si>
    <t>Antiarrugas, Ojos, Antiedad</t>
  </si>
  <si>
    <t>1. Limpia tu rostro y la zona del contorno de ojos. 2. Aplica una pequeña cantidad del bálsamo con suaves toques alrededor de los ojos. 3. Usa diariamente por la mañana y/o por la noche para mejores resultados.</t>
  </si>
  <si>
    <t>Aceite de argán: Nutre y reafirma la piel, Proteínas de avena ATP: Efecto lifting y reafirmante, Extracto de crambe maritima: Protege las células madre de la piel, Resveratrol: Mejora la densidad de la piel, Isoflavonas: Acción antiarrugas, Acetyl Tetrapeptide: Estimula la producción de colágeno (hormona de la juventud)</t>
  </si>
  <si>
    <t>¡Descubre el secreto para una mirada joven y radiante! Presentamos el Pack Doble de Frezyderm Color Eye Balm, tu aliado esencial en el cuidado del contorno de ojos. Este bálsamo suave y refrescante de 15ml está formulado específicamente para reducir visiblemente las ojeras, la hinchazón (en un 2.7%) y la falta de brillo. Su avanzada tecnología activa la microcirculación de la zona ocular al instante, recuperando la elasticidad y suavizando las líneas de expresión. Fabricado con ingredientes de alta eficacia como aceite de argán, proteínas de avena ATP, extracto de crambe maritima, resveratrol, isoflavonas y acetyl tetrapeptide, ofrece un tratamiento integral antiarrugas y reafirmante. Ideal para todo tipo de piel, especialmente maduras o con signos de flacidez. ¡Consigue un look fresco, descansado y lleno de vitalidad con este pack de doble beneficio!</t>
  </si>
  <si>
    <t>Frezyderm</t>
  </si>
  <si>
    <t>Color Eye Balm</t>
  </si>
  <si>
    <t>2 unidades de crema Frezyderm Color Eye Balm de 15ml cada una.</t>
  </si>
  <si>
    <t>Crema Contorno de Ojos</t>
  </si>
  <si>
    <t>30 ml</t>
  </si>
  <si>
    <t>contorno de ojos, antiarrugas, ojeras, hinchazón, frezyderm, crema, bálsamo, piel madura, reafirmante</t>
  </si>
  <si>
    <t>Reduce hinchazón en 2.7%, Activa microcirculación, Reduce ojeras y líneas de expresión, Textura suave y refrescante, Aplicación diaria</t>
  </si>
  <si>
    <t>crema contorno de ojos, frezyderm eye balm, antiarrugas ojos, reducir ojeras, crema para hinchazón ojos, bálsamo ocular, tratamiento contorno de ojos, piel madura, pack doble crema ojos</t>
  </si>
  <si>
    <t>Pack Doble Frezyderm Eye Balm - Crema Contorno Ojos Antiarrugas</t>
  </si>
  <si>
    <t>Formulado con una combinación de aceites naturales, extractos vegetales y péptidos. Incluye aceite de Argania Spinosa (nutrición y elasticidad), proteínas de avena ATP (efecto lifting), extracto de Crambe Maritima (protección celular), Resveratrol (densidad de la piel), Isoflavonas (acción antiarrugas) y Acetyl Tetrapeptide (estimulante de colágeno).</t>
  </si>
  <si>
    <t>Pack con 2 cremas Frezyderm Color Eye Balm de 15ml. Reduce ojeras, hinchazón (2.7%) y líneas de expresión. Activa microcirculación para una mirada fresca y radiante. Para todo tipo de piel.</t>
  </si>
  <si>
    <t>Este pack contiene 2 unidades de Frezyderm Color Eye Balm de 15ml cada una.</t>
  </si>
  <si>
    <t>089-001-006</t>
  </si>
  <si>
    <t>Antiojeras, Antiedad, Ojos</t>
  </si>
  <si>
    <t>1. Limpia tu rostro. 2. Aplica una pequeña cantidad del bálsamo con suaves toques en la zona alrededor de los ojos (párpados y contorno). 3. Usa diariamente por la mañana y/o por la noche para mejores resultados.</t>
  </si>
  <si>
    <t>Bioflavonoides: Activan la microcirculación para reducir ojeras, Extractos vegetales: Proporcionan elasticidad y luminosidad a la piel</t>
  </si>
  <si>
    <t>¡Descubre la mirada fresca y rejuvenecida que siempre has querido! Presentamos el Pack Doble de Frezyderm Eye Balm, que incluye dos unidades de 15 ml de esta revolucionaria crema contorno de ojos. Este bálsamo suave y refrescante está formulado para reducir visiblemente las ojeras, la hinchazón y la falta de brillo en la delicada piel del contorno ocular. Su acción inmediata activa la microcirculación, recupera la elasticidad cutánea y minimiza las líneas de expresión, otorgando una apariencia radiante y descansada. Fabricado con ingredientes de alta calidad como bioflavonoides y extractos vegetales, es tu aliado perfecto para una rutina de cuidado anti-edad y anti-fatiga. ¡Consigue un look juvenil y luminoso con este tratamiento especializado!</t>
  </si>
  <si>
    <t>Eye Balm</t>
  </si>
  <si>
    <t>2 unidades de Frezyderm Eye Balm de 15 ml cada una.</t>
  </si>
  <si>
    <t>2 x 15 ml</t>
  </si>
  <si>
    <t>contorno de ojos, anti ojeras, anti arrugas, bálsamo, frescura, microcirculación, Frezyderm, cuidado facial</t>
  </si>
  <si>
    <t>Reduce ojeras, Disminuye hinchazón, Aporta luminosidad, Activa microcirculación, Mejora elasticidad, Suave textura, Refrescante</t>
  </si>
  <si>
    <t>crema ojos, contorno de ojos, anti ojeras, Frezyderm, bálsamo ojos, tratamiento ojeras, crema antiedad, cuidado ocular, piel sensible, cosmética griega</t>
  </si>
  <si>
    <t>Pack Doble Crema Contorno Ojos Frezyderm Eye Balm - Anti Ojeras</t>
  </si>
  <si>
    <t>Formulado con bioflavonoides que activan la microcirculación para combatir ojeras, y extractos vegetales que devuelven la elasticidad y luminosidad a la piel del contorno ocular.</t>
  </si>
  <si>
    <t>Pack con 2 cremas Frezyderm Eye Balm de 15 ml. Reduce ojeras, hinchazón y arrugas. Activa microcirculación, aporta elasticidad y luminosidad. Para todo tipo de piel.</t>
  </si>
  <si>
    <t>Este pack contiene 2 unidades de Frezyderm Eye Balm de 15 ml cada una.</t>
  </si>
  <si>
    <t>090-001-006</t>
  </si>
  <si>
    <t>Antiarrugas, Antiojeras, Antiedad</t>
  </si>
  <si>
    <t>1. Limpia tu rostro y la zona del contorno de ojos. 2. Aplica una pequeña cantidad del bálsamo (Eye Balm o Color Eye Balm) con suaves toques alrededor del ojo, desde el interior hacia el exterior. 3. Usa diariamente por la mañana y/o por la noche para mejores resultados.</t>
  </si>
  <si>
    <t>Aceite de argán: Hidratante y nutritivo, Proteínas de avena ATP: Reafirmante y lifting, Extracto de crambe maritima: Protege las células madre de la piel, Resveratrol: Mejora la densidad de la piel, Isoflavonas: Acción antiarrugas, Bioflavonoides: Activan la microcirculación para reducir ojeras</t>
  </si>
  <si>
    <t>¡Descubre el dúo perfecto para una mirada rejuvenecida y radiante! Este pack exclusivo de Frezyderm incluye dos potentes bálsamos para el contorno de ojos: el Color Eye Balm y el Eye Balm, ambos de 15 ml. Estos productos de alta cosmética están formulados con ingredientes activos como aceite de argán, proteínas de avena ATP, resveratrol y bioflavonoides. Su textura suave y refrescante actúa inmediatamente activando la microcirculación, reduciendo visiblemente las ojeras, la hinchazón (hasta en un 2.7%) y las líneas de expresión. Recupera la elasticidad, luminosidad y firmeza de la piel más delicada de tu rostro. ¡Consigue una apariencia fresca, descansada y juvenil con este tratamiento especializado!</t>
  </si>
  <si>
    <t>Color Eye Balm y Eye Balm</t>
  </si>
  <si>
    <t>1 frasco de Frezyderm Color Eye Balm de 15 ml, 1 frasco de Frezyderm Eye Balm de 15 ml</t>
  </si>
  <si>
    <t>Pack de cremas para contorno de ojos</t>
  </si>
  <si>
    <t>30 ml (2 x 15 ml)</t>
  </si>
  <si>
    <t>contorno de ojos, antiarrugas, antiojeras, frezyderm, bálsamo ocular, crema ojos, hinchazón, mirada fresca, tratamiento ocular, cosmética griega</t>
  </si>
  <si>
    <t>Reduce hinchazón y ojeras, Activa microcirculación, Recupera elasticidad, Disminuye líneas de expresión, Textura suave y refrescante, Aplicación diaria</t>
  </si>
  <si>
    <t>crema contorno de ojos, frezyderm eye balm, pack contorno de ojos, reducir ojeras, antiarrugas ojos, bálsamo para ojos, tratamiento ocular, cosmética griega frezyderm, crema para hinchazón de ojos, mirada cansada</t>
  </si>
  <si>
    <t>Pack Frezyderm Eye Balm y Color Eye Balm - Tratamiento Contorno Ojos</t>
  </si>
  <si>
    <t>Formulados con una combinación de aceites naturales (como el de argán), extractos vegetales (crambe maritima), péptidos (Acetyl Tetrapeptide) y antioxidantes (Resveratrol, Isoflavonas, Bioflavonoides). Estos ingredientes trabajan en sinergia para hidratar profundamente, proteger las células de la piel, estimular la renovación celular y mejorar la firmeza y densidad de la piel del contorno ocular.</t>
  </si>
  <si>
    <t>Pack con 2 cremas Frezyderm para contorno de ojos. Reduce ojeras, hinchazón y arrugas. Con aceite de argán, resveratrol y bioflavonoides. ¡Consigue una mirada fresca y juvenil!</t>
  </si>
  <si>
    <t>Este pack contiene: 1 unidad de Frezyderm Color Eye Balm de 15 ml y 1 unidad de Frezyderm Eye Balm de 15 ml.</t>
  </si>
  <si>
    <t>091-001-006</t>
  </si>
  <si>
    <t>Capilar, Cuero cabelludo sensible, Piel grasa</t>
  </si>
  <si>
    <t>1. Aplicar una pequeña cantidad del shampoo sobre el cabello mojado. 2. Hacer espuma masajeando suavemente el cuero cabelludo. 3. Dejar actuar de 2 a 3 minutos para que los activos trabajen. 4. Aclarar completamente con agua. 5. Para tratamiento de inducción, usar 3 veces por semana. Repetir según sea necesario.</t>
  </si>
  <si>
    <t>Piel grasa</t>
  </si>
  <si>
    <t>Sulfopéptidos y Vitaminas: Reducen la grasa en el cuero cabelludo y suprimen la lipogénesis, Capryloyl Glutamate: Protege la flora natural de la piel, Extractos vegetales: Proporcionan un efecto calmante y antiirritante</t>
  </si>
  <si>
    <t>¡Controla el exceso de grasa y alivia las molestias del cuero cabelludo con este pack doble! El Pack de 2 unidades de Frezyderm Sebum Control Shampoo 200 Ml es un tratamiento especializado formulado para trabajar en conjunto con medicación recetada, combatiendo eficazmente la dermatitis seborreica, la psoriasis, la irritación y el picor. Este champú suave de pH neutro incorpora principios activos complementarios como sulfopéptidos, vitaminas y extractos vegetales que no solo tratan los problemas, sino que también suavizan y protegen el cuero cabelludo. Su fórmula está diseñada para suprimir la lipogénesis, reducir la secreción sebácea excesiva y ofrecer efectos antiinflamatorios y calmantes. Ideal para un tratamiento continuo, este pack económico te asegura un cuidado prolongado. ¡Consigue un cuero cabelludo más sano, limpio y libre de molestias!</t>
  </si>
  <si>
    <t>Sebum Control Shampoo</t>
  </si>
  <si>
    <t>2 botellas de shampoo Frezyderm Sebum Control de 200 ml cada una.</t>
  </si>
  <si>
    <t>Shampoo tratamiento control de grasa</t>
  </si>
  <si>
    <t>400 ml</t>
  </si>
  <si>
    <t>shampoo, dermatitis seborreica, cuero cabelludo graso, psoriasis, tratamiento capilar, control de sebo, Frezyderm, pH neutro</t>
  </si>
  <si>
    <t>pH neutro, con extractos vegetales, efecto antiinflamatorio, controla la producción de grasa, tratamiento para dermatitis seborreica</t>
  </si>
  <si>
    <t>shampoo frezyderm, shampoo sebo control, dermatitis seborreica shampoo, shampoo para cuero cabelludo graso, tratamiento psoriasis capilar, shampoo medicado, control de grasa cabello, frezyderm sebum</t>
  </si>
  <si>
    <t>Pack Shampoo Frezyderm Sebum Control - Dermatitis Seborreica</t>
  </si>
  <si>
    <t>Agua, tensioactivos suaves, sulfopéptidos, complejo vitamínico, capryloyl glutamate, extractos vegetales calmantes. Formulado para reducir la lipogénesis y la secreción sebácea mientras protege la flora cutánea y ofrece alivio.</t>
  </si>
  <si>
    <t>Pack con 2 shampoos Frezyderm Sebum Control de 200ml. Tratamiento para dermatitis seborreica, psoriasis y cuero cabelludo graso. Controla el sebo, alivia picor e irritación con pH neutro.</t>
  </si>
  <si>
    <t>Shampoos y Acondicionadores</t>
  </si>
  <si>
    <t>SHAMPOO Y ACONDICIONADORES</t>
  </si>
  <si>
    <t>Cabello|champús</t>
  </si>
  <si>
    <t>Este pack contiene 2 unidades de Frezyderm Sebum Control Shampoo de 200 Ml cada una.</t>
  </si>
  <si>
    <t>092-001-006</t>
  </si>
  <si>
    <t>Antiedad, Hidratante, Facial</t>
  </si>
  <si>
    <t>1. Asegúrate de que tu piel del rostro, cuello y escote esté limpia y seca. 2. Toma una cantidad adecuada de crema con los dedos limpios. 3. Aplícala suavemente sobre las áreas mencionadas. 4. Masajea con movimientos circulares ascendentes hasta su completa absorción. 5. Usa como parte de tu rutina de cuidado por la mañana y/o por la noche.</t>
  </si>
  <si>
    <t>Cristales de Diamante y Nitruro de Boro: Renuevan las células y aumentan la luminosidad, Colágeno y Elastina Marina: Hidratan y mejoran la elasticidad, Ácido Hialurónico de bajo peso molecular: Hidrata profundamente reteniendo humedad, Ectoína: Protege la piel de contaminantes ambientales, Glucógeno Marino: Protege contra radicales libres y fortalece la piel.</t>
  </si>
  <si>
    <t>¡Descubre el secreto para una piel madura radiante y rejuvenecida! Presentamos el Pack Doble de Frezyderm Diamond Velvet Moisturizing Cream, la solución definitiva para combatir la sequedad, la falta de brillo y los signos del envejecimiento. Este pack incluye dos frascos de 50ml de esta crema ultrahidratante de textura aterciopelada, especialmente formulada con tecnología avanzada para pieles maduras y desgastadas. Su fórmula polivalente enriquece la piel con Cristales de Diamante y Nitruro de Boro que aceleran la renovación celular, mientras que una poderosa combinación de colágeno marino, elastina, ácido hialurónico y ectoína garantiza una hidratación activa y pasiva de larga duración. Además, el glucógeno marino fortalece los mecanismos de defensa naturales de la piel, protegiéndola de agresiones externas y radicales libres. Ideal para usar día y noche, esta crema no solo nutre en profundidad sino que también mejora visiblemente la luminosidad y firmeza. ¡Consigue un cutis suave, hidratado y protegido con este increíble pack de valor!</t>
  </si>
  <si>
    <t>Diamond Velvet Moisturizing Cream</t>
  </si>
  <si>
    <t>2 frascos de crema hidratante Frezyderm Diamond Velvet Moisturizing de 50ml cada uno.</t>
  </si>
  <si>
    <t>Crema hidratante antiedad</t>
  </si>
  <si>
    <t>crema antiedad, hidratante piel madura, frezyderm, diamond velvet, ácido hialurónico, colágeno marino, crema facial, tratamiento facial, renovación celular</t>
  </si>
  <si>
    <t>Textura aterciopelada, Hidratación prolongada, Renovación celular, Protección ambiental, Fórmula con activos marinos, Para uso diurno y nocturno</t>
  </si>
  <si>
    <t>crema frezyderm, velvet moisturizing, crema para piel madura, hidratante con ácido hialurónico, crema antiedad, frezyderm diamond, pack crema facial, tratamiento antienvejecimiento, crema de noche, crema de día</t>
  </si>
  <si>
    <t>Pack 2 Cremas Frezyderm Velvet Moisturizing 50ml - Antiedad</t>
  </si>
  <si>
    <t>Agua, ingredientes hidratantes (colágeno marino, elastina marina, ácido hialurónico-silanol, ectoína, complejo similar a NMF), Cristales de Diamante, Nitruro de Boro, Glucógeno Marino. Esta combinación proporciona hidratación profunda, renovación celular y protección ambiental.</t>
  </si>
  <si>
    <t>Pack con 2 cremas Frezyderm Velvet Moisturizing 50ml. Hidratación intensa y antiedad para piel madura. Con ácido hialurónico, colágeno marino y protección ambiental. ¡Renueva tu piel!</t>
  </si>
  <si>
    <t>Este pack contiene 2 unidades de la crema Frezyderm Diamond Velvet Moisturizing de 50ml cada una.</t>
  </si>
  <si>
    <t>093-001-006</t>
  </si>
  <si>
    <t>Antiedad, Facial, Tratamiento</t>
  </si>
  <si>
    <t>1. Usa como parte de tu rutina nocturna sobre la piel limpia y seca. 2. Gira el cabezal del aplicador para abrirlo. 3. Enrolla las diademas hexagonales de acero inoxidable sobre la piel, distribuyendo y masajeando la fórmula. 4. No apliques crema o suero después.</t>
  </si>
  <si>
    <t>Diamond Powder: Renueva las células para una piel radiante y joven, Red Clover: Contrarresta arrugas y aumenta la elasticidad e hidratación, Pisum Sativum: Reduce arrugas y mejora elasticidad, densidad y firmeza, LMW Hyaluronic acid-Silanol: Hidrata y rellena arrugas, Mioinositol: Hidrata y reafirma la piel</t>
  </si>
  <si>
    <t>¡Descubre el poder de la innovación antiedad! Pack con 2 unidades del Frezyderm Diamond Wrinkle Fighter 40ml, un tratamiento semanal de lujo para pieles maduras. Este sérum de alta eficacia combate tanto las arrugas estáticas como las dinámicas, gracias a su fórmula enriquecida con Diamond Powder que activa la renovación celular para una piel instantáneamente radiante y rejuvenecida. Su exclusivo aplicador con rodillos hexagonales de acero inoxidable permite una aplicación precisa y un masaje que potencia la absorción de ingredientes clave como el Trébol Rojo, Pisum Sativum, Ácido Hialurónico de bajo peso molecular y Mioinositol. Juntos, estos componentes aumentan la firmeza, densidad, elasticidad e hidratación profunda de la piel. Ideal para incorporar en tu rutina de noche, es el aliado perfecto para una piel más lisa, firme y con un brillo saludable. ¡Transforma tu rutina de cuidado con este tratamiento profesional que ofrece resultados visibles!</t>
  </si>
  <si>
    <t>Diamond Wrinkle Fighter</t>
  </si>
  <si>
    <t>2 unidades de Frezyderm Diamond Wrinkle Fighter de 40ml cada una.</t>
  </si>
  <si>
    <t>Tratamiento antienvejecimiento facial</t>
  </si>
  <si>
    <t>antiedad, antienvejecimiento, arrugas, facial, sérum, tratamiento, renovación celular, firmeza, hidratación, Frezyderm, diamond powder, rodillo de acero</t>
  </si>
  <si>
    <t>Tratamiento semanal, Aplicador con rodillos de acero inoxidable, Fórmula con Diamond Powder, Enfoque en arrugas estáticas y dinámicas, Para uso nocturno</t>
  </si>
  <si>
    <t>Frezyderm Wrinkle Fighter, tratamiento arrugas, crema antiedad, sérum facial, diamond powder, rodillo facial, anti aging, piel madura, pack oferta, cuidado de la piel</t>
  </si>
  <si>
    <t>Pack x2 Frezyderm Wrinkle Fighter 40ml - Tratamiento Antiedad</t>
  </si>
  <si>
    <t>Fórmula antienvejecimiento que incluye Diamond Powder (polvo de diamante) para renovación celular, extracto de Trébol Rojo (Red Clover) para elasticidad e hidratación, Pisum Sativum para mejorar firmeza y densidad, Ácido Hialurónico de bajo peso molecular (LMW Hyaluronic acid-Silanol) para hidratación y relleno de arrugas, y Mioinositol para reafirmar la piel.</t>
  </si>
  <si>
    <t>Pack con 2 tratamientos Frezyderm Wrinkle Fighter 40ml. Combate arrugas estáticas y dinámicas con Diamond Powder y aplicador de rodillos. Ideal para pieles maduras. ¡Resultados visibles!</t>
  </si>
  <si>
    <t>Este pack contiene 2 unidades de Frezyderm Diamond Wrinkle Fighter de 40ml cada una.</t>
  </si>
  <si>
    <t>094-001-006</t>
  </si>
  <si>
    <t>1. Para la Crema Velvet Moisturizing: Aplica por la mañana y/o noche sobre rostro, cuello y escote limpios y secos. Masajea suavemente. 2. Para el Wrinkle Fighter: Usa solo en la rutina nocturna. Gira el cabezal del aplicador para abrirlo, desliza las diademas hexagonales sobre la piel para distribuir el producto. No apliques crema o suero después.</t>
  </si>
  <si>
    <t>Cristales de Diamante y Nitruro de Boro: Renuevan células y aumentan la luminosidad, Colágeno y Ácido Hialurónico: Hidratan y retienen humedad, Glucógeno Marino: Protege de contaminantes y radicales libres, Polvo de Diamante: Activa la renovación celular, Trébol Rojo y Pisum Sativum: Reducen arrugas y mejoran elasticidad.</t>
  </si>
  <si>
    <t>¡Transforma tu rutina de belleza con este pack premium de Frezyderm! Descubre el poder combinado de la Crema Velvet Moisturizing y el tratamiento Wrinkle Fighter, diseñados específicamente para pieles maduras. La Crema Velvet Moisturizing de 50ml es una fórmula ultrahidratante que combate la sequedad, falta de brillo y signos de envejecimiento, protegiendo además de agresiones externas gracias a su complejo con cristales de diamante, nitruro de boro, colágeno marino, ácido hialurónico y ectoína. El Wrinkle Fighter de 40ml es un tratamiento semanal concentrado que ataca arrugas estáticas y dinámicas con un aplicador único de diademas hexagonales, infundido con polvo de diamante, trébol rojo, pisum sativum y ácido hialurónico para aumentar firmeza, densidad y elasticidad. Juntos ofrecen una solución completa: hidratación profunda, protección ambiental y corrección intensiva de arrugas. ¡Logra una piel radiante, rejuvenecida y visiblemente más firme con este dúo de alta eficacia!</t>
  </si>
  <si>
    <t>Velvet Moisturizing &amp; Wrinkle Fighter</t>
  </si>
  <si>
    <t>1 frasco de Crema Frezyderm Diamond Velvet Moisturizing de 50ml, 1 unidad de Tratamiento Frezyderm Diamond Wrinkle Fighter de 40ml con aplicador.</t>
  </si>
  <si>
    <t>Pack de Crema Hidratante y Tratamiento Antiarrugas</t>
  </si>
  <si>
    <t>90 ml</t>
  </si>
  <si>
    <t>antiedad, antiarrugas, hidratante, piel madura, frezyderm, crema facial, tratamiento, renovación celular, ácido hialurónico, diamante</t>
  </si>
  <si>
    <t>Aplicador con diademas hexagonales, Fórmula con cristales de diamante, Textura ultrahidratante, Protección contra contaminantes, Tratamiento semanal</t>
  </si>
  <si>
    <t>pack frezyderm, crema antiarrugas, tratamiento arrugas, hidratante piel madura, frezyderm diamond, rutina facial antiedad, crema velvet, wrinkle fighter</t>
  </si>
  <si>
    <t>Pack Frezyderm Antiedad: Crema Velvet + Wrinkle Fighter</t>
  </si>
  <si>
    <t>Crema Velvet: Contiene Cristales de Diamante y Nitruro de Boro para renovación celular, una combinación de ingredientes hidratantes (colágeno marino, elastina marina, ácido hialurónico de bajo peso molecular-silanol, ectoína y complejo similar a NMF) para retención de humedad, y Glucógeno Marino para protección ambiental. Wrinkle Fighter: Incluye Polvo de Diamante para renovación, Trébol Rojo y Pisum Sativum para reducir arrugas y mejorar elasticidad, y Ácido Hialurónico de bajo peso molecular para rellenar arrugas.</t>
  </si>
  <si>
    <t>Pack Frezyderm con Crema Velvet Moisturizing 50ml y Tratamiento Wrinkle Fighter 40ml. Hidratación profunda y corrección de arrugas para piel madura. Fórmulas con diamante y ácido hialurónico. ¡Resultados visibles!</t>
  </si>
  <si>
    <t>Este pack contiene: 1 unidad de Frezyderm Velvet Moisturizing 50ml y 1 unidad de Frezyderm Wrinkle Fighter 40ml.</t>
  </si>
  <si>
    <t>136-001-012</t>
  </si>
  <si>
    <t>Piel seca, Piel Atópica, Calmante</t>
  </si>
  <si>
    <t>1. Aplicar sobre la piel húmeda durante la ducha o el baño. 2. Masajear suavemente para crear una espuma ultraligera. 3. Aclarar completamente con agua. 4. Para mejores resultados, seguir con un tratamiento de la gama Atoderm. Se recomienda usar una o dos veces al día.</t>
  </si>
  <si>
    <t>Piel sensible muy seca, irritada, atópica</t>
  </si>
  <si>
    <t>Biolípidos vegetales: reconstruyen la película protectora y alivian la tirantez, Vitamina B3 (Niacinamida): estimula la síntesis de lípidos para reconstruir la barrera cutánea, Patente Skin Barrier Therapy™: previene la adhesión de bacterias que empeoran la irritación, Complejo DAF: aumenta la tolerancia de la piel.</t>
  </si>
  <si>
    <t>¡Transforma tu rutina de baño en un ritual de cuidado intensivo! Este pack incluye dos botellas de 1 litro del Aceite de Ducha Bioderma Atoderm, un limpiador diseñado específicamente para pieles muy secas, irritadas y atópicas. Su fórmula exclusiva, enriquecida con biolípidos vegetales, vitamina B3 (Niacinamida) y la patente Skin Barrier Therapy™, no solo limpia con suavidad sino que calma, protege y refuerza la barrera cutánea contra agresiones externas. Ofrece 24 horas de hidratación, es muy nutritivo y protector, con una espuma ultraligera y una textura aceitosa cremosa que no reseca. Su excelente tolerancia cutánea y ocular, junto con un perfume suave, lo hacen ideal para toda la familia. ¡Consigue una piel calmada, hidratada y protegida con cada ducha!</t>
  </si>
  <si>
    <t>Bioderma</t>
  </si>
  <si>
    <t>Huile De Douche FP1L</t>
  </si>
  <si>
    <t>2 botellas de Bioderma Atoderm Huile De Douche de 1000 mL (1L) cada una.</t>
  </si>
  <si>
    <t>Aceite de ducha o gel de baño</t>
  </si>
  <si>
    <t>2 x 1000 mL</t>
  </si>
  <si>
    <t>bioderma, atoderm, aceite de ducha, piel atópica, piel seca, hidratante, calmante, gel de baño, limpieza suave, dermatológico</t>
  </si>
  <si>
    <t>Hidratación 24H, Limpieza suave, Textura aceite cremoso, Sin jabón, No comedogénico, Perfume suave, No pica en los ojos, Para piel sensible</t>
  </si>
  <si>
    <t>bioderma atoderm, aceite de ducha bioderma, gel baño piel seca, producto piel atópica, limpiador corporal, hidratante ducha, pack bioderma, oferta bioderma</t>
  </si>
  <si>
    <t>Pack Bioderma Atoderm Aceite Ducha Piel Atópica 2x1L</t>
  </si>
  <si>
    <t>Agua, Glicerina (humectante), tensioactivos suaves derivados del coco (PEG-7 Glyceryl Cocoate, Sodium Cocoamphoacetate) para limpiar sin agredir, Biolípidos vegetales para reconstruir la barrera lipídica, Niacinamida (Vitamina B3) para reparar la piel, y fragancia suave.</t>
  </si>
  <si>
    <t>Pack con 2 aceites de ducha Bioderma Atoderm de 1L. Calma y protege pieles muy secas y atópicas con biolípidos y vitamina B3. Hidratación 24H y limpieza suave. ¡Compra ahora!</t>
  </si>
  <si>
    <t>Perfume suave</t>
  </si>
  <si>
    <t>Cuidado Corporal</t>
  </si>
  <si>
    <t>BAÑO Y SPA &gt; GEL DE DUCHA</t>
  </si>
  <si>
    <t>Este pack contiene 2 unidades de Bioderma Atoderm Huile De Douche FP1L, aceite de ducha de 1 litro cada una.</t>
  </si>
  <si>
    <t>139-001-012</t>
  </si>
  <si>
    <t>Anticaspa, Cuero cabelludo sensible, Capilar</t>
  </si>
  <si>
    <t>1. Aplicar Nodé DS+ sobre el cabello mojado. 2. Masajear suavemente el cuero cabelludo hasta formar espuma. 3. Enjuagar con abundante agua. 4. Repetir la aplicación, dejando actuar durante 5 minutos. 5. Enjuagar nuevamente con agua abundante. Para tratamiento intensivo (3 semanas): usar 3 veces por semana. Para mantenimiento: usar 1-2 veces por semana.</t>
  </si>
  <si>
    <t>Cuero cabelludo sensible</t>
  </si>
  <si>
    <t>Complejo DSactive®: Regula la proliferación de levaduras Malassezia y reduce la secreción de sebo, Agentes queratorreguladores: Eliminan la caspa resistente y facilitan su eliminación, Agentes calmantes: Alivian el picor de manera inmediata y duradera, Complejo DAF: Mejora la tolerancia del cuero cabelludo sensible</t>
  </si>
  <si>
    <t>¡Combate la caspa persistente de raíz con este pack especial! El Pack Bioderma Node DS+ Shampooing T incluye 2 unidades de 125ML del champú dermatológico especializado. Su fórmula exclusiva con Complejo DSactive® actúa directamente sobre las causas de la caspa resistente, regulando la proliferación de levaduras Malassezia y reduciendo la secreción de sebo. Con agentes queratorreguladores que eliminan la caspa y facilitan su remoción, y agentes calmantes que alivian el picor al instante. Su textura es cremosa y fluida, con un perfume fresco y suave, asegurando una limpieza profunda y duradera sin agredir el cuero cabelludo. Ideal para un tratamiento intensivo de 3 semanas o como mantenimiento continuo. ¡Recupera la salud de tu cuero cabelludo y dile adiós a la caspa para siempre!</t>
  </si>
  <si>
    <t>Node DS+ Shampooing T</t>
  </si>
  <si>
    <t>2 unidades de champú Bioderma Node DS Shampooing T de 125ML cada una.</t>
  </si>
  <si>
    <t>Champú anticaspa</t>
  </si>
  <si>
    <t>2 x 125 mL</t>
  </si>
  <si>
    <t>champú anticaspa, bioderma node, caspa persistente, cuero cabelludo sensible, tratamiento intensivo, picor, shampoo dermatológico</t>
  </si>
  <si>
    <t>Fórmula con Complejo DSactive®, Elimina caspa resistente, Alivia el picor inmediatamente, Textura cremosa fluida, Perfume fresco y suave, Para tratamiento intensivo y mantenimiento</t>
  </si>
  <si>
    <t>bioderma node ds shampoo, champú para caspa, shampoo anticaspa, tratamiento caspa persistente, bioderma node ds+, cuero cabelludo sensible, champú dermatológico, pack champú bioderma</t>
  </si>
  <si>
    <t>Pack Bioderma Node DS+ Shampoo - 2x125ml - Anticaspa</t>
  </si>
  <si>
    <t>Fórmula dermatológica que incluye el Complejo DSactive® (regula levaduras Malassezia y sebo), agentes queratorreguladores (eliminan la caspa), agentes calmantes (alivian el picor) y Complejo DAF (mejora la tolerancia). Diseñada para una acción eficaz y respetuosa.</t>
  </si>
  <si>
    <t>Pack con 2 champús Bioderma Node DS+ de 125ml. Tratamiento intensivo contra la caspa persistente. Elimina la caspa resistente, alivia el picor y calma el cuero cabelludo sensible. Fórmula dermatológica eficaz.</t>
  </si>
  <si>
    <t>Fresco y suave</t>
  </si>
  <si>
    <t>Este pack contiene 2 unidades de Bioderma Node DS Shampooing T de 125ML cada una.</t>
  </si>
  <si>
    <t>142-001-012</t>
  </si>
  <si>
    <t>Antimanchas, Facial, Limpiadores</t>
  </si>
  <si>
    <t>1. Humedece un algodón con el agua micelar. 2. Limpia y elimina el maquillaje del rostro y los ojos con suavidad. 3. Seca la piel con suavidad. Uso diario, no necesita enjuague.</t>
  </si>
  <si>
    <t>Piel hiperpigmentada</t>
  </si>
  <si>
    <t>Hexapeptide-2 (BI 520): Regula la pigmentación y aclara manchas, Ácido Azelaico: Actúa sobre los mecanismos de las manchas oscuras, Extracto de Andrographis Paniculata: Propiedades iluminadoras, Fructooligosacáridos: Protege y respeta el equilibrio de la piel.</t>
  </si>
  <si>
    <t>¡Consigue un tono de piel radiante y uniforme! Este pack contiene dos botellas de Agua Micelar Iluminadora Bioderma Pigmentbio H2O de 250 ml. Especialmente formulada para pieles con trastornos de pigmentación como manchas oscuras, esta solución micelar de alta tolerancia limpia, desmaquilla e ilumina en un solo gesto. Su tecnología con micelas elimina impurezas y maquillaje respetando el equilibrio cutáneo, mientras que su combinación patentada de activos como el Hexapeptide-2 (BI 520) y el Ácido Azelaico regula los mecanismos biológicos que causan las manchas. Sin perfume, es ideal para uso diario en rostro y ojos, dejando una sensación de frescura y luminosidad inmediata. ¡El dúo perfecto para una rutina antimanchas efectiva y suave!</t>
  </si>
  <si>
    <t>Pigmentbio H2O</t>
  </si>
  <si>
    <t>2 botellas de agua micelar Bioderma Pigmentbio H2O de 250 ml.</t>
  </si>
  <si>
    <t>Agua micelar iluminadora</t>
  </si>
  <si>
    <t>500 ml</t>
  </si>
  <si>
    <t>agua micelar, bioderma, pigmentbio, iluminadora, antimanchas, desmaquillante, limpiador, piel hiperpigmentada, sin perfume, alta tolerancia</t>
  </si>
  <si>
    <t>Alta tolerancia, Sin perfume, Desmaquilla rostro y ojos, No necesita enjuague, Efecto iluminador, Regula la pigmentación</t>
  </si>
  <si>
    <t>agua micelar bioderma, pigmentbio h2o, agua iluminadora, desmaquillante para manchas, limpiador facial antimanchas, bioderma pigmentbio, pack agua micelar, oferta bioderma, tratamiento hiperpigmentación, rutina para manchas</t>
  </si>
  <si>
    <t>Pack Bioderma Pigmentbio H2O Agua Micelar Iluminadora x2</t>
  </si>
  <si>
    <t>Agua (Aqua), tensioactivos suaves (PEG-6 Caprylic/Capric Glycerides, Polysorbate 20), agentes hidratantes y de protección (Dipropylene Glycol, Butylene Glycol, Fructooligosaccharides, Mannitol, Xylitol), activos antimanchas (Azelaic Acid, Hexapeptide-2 [BI 520]), extracto botánico iluminador (Andrographis Paniculata Leaf Extract), y agentes quelantes y conservantes. Fórmula sin perfume.</t>
  </si>
  <si>
    <t>Pack con 2 aguas micelares Bioderma Pigmentbio H2O. Limpia, desmaquilla e ilumina pieles con manchas. Alta tolerancia y sin perfume. ¡Consigue un tono uniforme!</t>
  </si>
  <si>
    <t>Desmaquillantes</t>
  </si>
  <si>
    <t>2 unidades de Agua Micelar Bioderma Pigmentbio H2O de 250 ml cada una.</t>
  </si>
  <si>
    <t>143-001-012</t>
  </si>
  <si>
    <t>Facial, Limpiadores, Piel sensible</t>
  </si>
  <si>
    <t>1. Aplicar el gel sobre la piel húmeda del rostro. 2. Masajear suavemente para formar espuma. 3. Aclarar abundantemente con agua. 4. Secar la piel con una toalla con suaves toques. Se puede usar por la mañana y por la noche.</t>
  </si>
  <si>
    <t>Piel Sensible</t>
  </si>
  <si>
    <t>Complejo DAF: refuerza el umbral de tolerancia de la piel sensible, Glucósido de coco/Oleato de glicerilo: ingrediente que imita la estructura de la piel, hidrata y restaura lípidos, Agua (AQUA): base del producto, Sodium Cocoamphoacetate: agente limpiador suave, Propanediol: humectante y solvente suave.</t>
  </si>
  <si>
    <t>¡Descubre la limpieza suave y eficaz para tu piel sensible! Este pack incluye dos botellas de 500ml del Bioderma Sensibio Gel Moussant, el gel micelar limpiador y calmante formulado específicamente para reforzar la hidratación natural. Su textura en gel se transforma en una espuma delicada que limpia en profundidad, elimina el maquillaje (incluso el de ojos) y calma las irritaciones gracias al exclusivo complejo DAF. Enriquecido con glucósido de coco/oleato de glicerilo, un activo que mimetiza la estructura cutánea, este producto restaura la barrera lipídica, hidrata y mantiene el pH fisiológico. Es no comedogénico, sin jabón y sin perfume, ofreciendo una tolerancia excelente. Ideal para tu rutina diaria de mañana y noche. ¡Consigue un rostro limpio, fresco y perfectamente calmado con este práctico pack doble!</t>
  </si>
  <si>
    <t>Sensibio Gel Moussant</t>
  </si>
  <si>
    <t>2 unidades de Bioderma Sensibio Gel Moussant de 500ml cada una.</t>
  </si>
  <si>
    <t>Gel limpiador micelar facial</t>
  </si>
  <si>
    <t>2 x 500 ml</t>
  </si>
  <si>
    <t>bioderma, sensibio, gel moussant, limpiador, micelar, calmante, piel sensible, sin perfume, hidratante, espuma</t>
  </si>
  <si>
    <t>Gel micelar, Limpia y desmaquilla, Formula calmante, Refuerza la hidratación, Sin jabón, Sin perfume, pH fisiológico, No comedogénico, Para piel sensible</t>
  </si>
  <si>
    <t>bioderma sensibio gel, gel limpiador bioderma, limpiador para piel sensible, gel moussant, pack bioderma, oferta bioderma, gel micelar, limpieza facial, piel sensible, desmaquillante</t>
  </si>
  <si>
    <t>Pack Doble Bioderma Sensibio Gel Moussant 500ml - Piel Sensible</t>
  </si>
  <si>
    <t>Agua (AQUA), Sodium Cocoamphoacetate (tensioactivo limpiador suave), Propanediol (humectante), Sodium Lauroyl Sarcosinate (tensioactivo), Citric Acid (regulador de pH), Coco-Glucoside (tensioactivo suave de origen natural), Glyceryl Oleate (emoliente y restaurador lipídico), Sodium Citrate (regulador de pH), y otros ingredientes como Mannitol, Xylitol, Rhamnose, Fructooligosaccharides (componentes del complejo DAF que refuerzan la tolerancia cutánea), y Tocopherol (antioxidante).</t>
  </si>
  <si>
    <t>Pack con 2 unidades de Bioderma Sensibio Gel Moussant 500ml. Gel micelar limpiador y calmante para piel sensible, elimina maquillaje, hidrata y refuerza la barrera de la piel sin irritar. Sin perfume y no comedogénico.</t>
  </si>
  <si>
    <t>Este pack contiene 2 unidades del producto Bioderma Sensibio Gel Moussant de 500ml cada una.</t>
  </si>
  <si>
    <t>144-001-012</t>
  </si>
  <si>
    <t>Facial, Antimanchas, Piel sensible</t>
  </si>
  <si>
    <t>Para el Agua Micelar Pigmentbio H2O: 1) Humedece un algodón. 2) Limpia y elimina el maquillaje del rostro y los ojos. 3) Seca con suavidad. No necesita enjuague. Para el Gel Moussant Sensibio: 1) Aplica sobre la piel húmeda. 2) Forma espuma con un suave masaje. 3) Aclara bien con agua. 4) Seca con suavidad.</t>
  </si>
  <si>
    <t>Piel sensible a hiperpigmentada</t>
  </si>
  <si>
    <t>Pigmentbio H2O: Complejo patentado regulador de manchas (ilumina y previene), Micelas (limpian suavemente). Sensibio Gel Moussant: Complejo DAF (refuerza la tolerancia), Glucósido de coco/oleato de glicerilo (hidrata y restaura lípidos).</t>
  </si>
  <si>
    <t>¡Descubre el dúo perfecto para una rutina de limpieza facial profesional y de alta tolerancia! Este pack especial incluye dos referencias icónicas de Bioderma. El Agua Micelar Pigmentbio H2O de 250ml está formulada para pieles con trastornos de pigmentación: limpia, desmaquilla e ilumina el tono de la piel gracias a su combinación patentada de activos que regulan los mecanismos biológicos causantes de las manchas oscuras. Es sin perfume y de muy alta tolerancia. El Gel Moussant Sensibio de 500ml es un limpiador micelar en gel espumoso, ideal para pieles sensibles. Su fórmula con el complejo DAF y un activo que imita la estructura de la piel, calma, hidrata y refuerza la barrera cutánea. Es no comedogénico, sin jabón y con pH fisiológico. Juntos ofrecen una limpieza profunda, respetuosa y dirigida a necesidades específicas, garantizando una piel limpia, fresca y protegida. ¡Tu piel lucirá radiante y calmada!</t>
  </si>
  <si>
    <t>Pigmentbio H2O + Sensibio Gel Moussant</t>
  </si>
  <si>
    <t>1 botella de Agua Micelar Bioderma Pigmentbio H2O de 250ml, 1 botella de Gel Moussant Bioderma Sensibio de 500ml.</t>
  </si>
  <si>
    <t>Pack de limpiadores faciales</t>
  </si>
  <si>
    <t>750ml</t>
  </si>
  <si>
    <t>bioderma, pack, limpieza facial, agua micelar, gel espumoso, pigmentbio, sensibio, piel sensible, antimanchas, iluminador</t>
  </si>
  <si>
    <t>Alta tolerancia, Sin perfume, No comedogénico, pH fisiológico, Sin jabón, Desmaquillante, Hidratante, Calmante</t>
  </si>
  <si>
    <t>pack bioderma, agua micelar bioderma, gel limpiador bioderma, pigmentbio h2o, sensibio gel moussant, limpieza facial, piel sensible, manchas en la piel, desmaquillante, rutina facial</t>
  </si>
  <si>
    <t>Pack Bioderma Pigmentbio + Sensibio - Limpieza e Iluminación</t>
  </si>
  <si>
    <t>Pigmentbio H2O: Base de agua (Aqua), tensioactivos suaves (PEG-6 Caprylic/Capric Glycerides, Polysorbate 20) que forman micelas para atrapar impurezas, y un complejo patentado de activos (como Ácido Azelaico, extracto de Andrographis Paniculata, Hexapeptide-2) que regulan la pigmentación. Sensibio Gel Moussant: Base acuosa con tensioactivos suaves derivados del coco (Sodium Cocoamphoacetate, Coco-Glucoside) que limpian sin agredir, enriquecido con el complejo DAF (tolerancia) y emolientes (Glyceryl Oleate) que hidratan y restauran los lípidos de la piel.</t>
  </si>
  <si>
    <t>Pack Bioderma con Agua Micelar Pigmentbio H2O 250ml (ilumina) y Gel Moussant Sensibio 500ml (calma). Limpieza profesional para piel sensible y con manchas. Alta tolerancia y sin perfume. ¡Compra ahora!</t>
  </si>
  <si>
    <t>Este pack contiene: 1 Bioderma Pigmentbio H2O 250ml y 1 Bioderma Sensibio Gel Moussant 500ml.</t>
  </si>
  <si>
    <t>146-001-012</t>
  </si>
  <si>
    <t>SolaresHacer principal, Antiedad, Facial</t>
  </si>
  <si>
    <t>1. Aplicar de manera uniforme y generosa sobre la piel antes de la exposición solar. 2. Repetir la aplicación cada 2 horas o después de cada baño, secado con toalla o actividad deportiva.</t>
  </si>
  <si>
    <t>Filtros UVA/UVB dermatológicos (protección solar), Cellular Bioprotection™ (activa defensas naturales y protege células), Polvos matificantes (acabado toque seco).</t>
  </si>
  <si>
    <t>¡Protege y realza tu piel con el toque dorado del sol! Pack con 2 unidades del protector solar Bioderma Photoderm Aquafluide SPF 50+ en tono Dorée. Este protector solar facial de alta protección combina una textura ultrafluida y ligera como el agua con un acabado de toque seco y un sutil color dorado que unifica el tono de la piel. Su fórmula está enriquecida con la patente exclusiva Cellular Bioprotection™, que activa las defensas naturales de la piel, protege las células del daño solar y combate el envejecimiento prematuro. Ofrece máxima protección UVA/UVB gracias a su asociación de filtros dermatológicos. Es ideal para todo tipo de piel, incluso mixta y grasa, gracias a su textura no grasa, fórmula sin aceites y acabado matificante. Además, es no comedogénico, sin perfume y resistente al agua. ¡Consigue una protección biológica interna y un brillo saludable con este pack duplicado!</t>
  </si>
  <si>
    <t>Photoderm Aquafluide SPF 50+ Dorée</t>
  </si>
  <si>
    <t>2 unidades de protector solar Bioderma Photoderm Aquafluide SPF 50+ Dorée.</t>
  </si>
  <si>
    <t>Protector solar facial con color</t>
  </si>
  <si>
    <t>Dorée</t>
  </si>
  <si>
    <t>protector solar, bioderma, spf 50, aquafluide, dorado, facial, toque seco, antiaging, filtros uv</t>
  </si>
  <si>
    <t>SPF 50+, Textura aqua-ligera, Acabado toque seco y matificante, Con color dorado, Resistente al agua, Sin perfume, No comedogénico, Fórmula sin aceites</t>
  </si>
  <si>
    <t>protector solar bioderma, photoderm aquafluide, spf 50 dorado, bloqueador facial con color, filtro solar toque seco, bioderma dorée, protector solar para piel grasa</t>
  </si>
  <si>
    <t>Dorado</t>
  </si>
  <si>
    <t>Pack Bioderma Photoderm Aquafluide SPF 50+ Dorée (x2)</t>
  </si>
  <si>
    <t>Fórmula basada en una asociación exclusiva de filtros dermatológicos UVA/UVB y la patente Cellular Bioprotection™ para proteger y activar las defensas celulares. Contiene una combinación sinérgica de 3 polvos que aportan el acabado matificante.</t>
  </si>
  <si>
    <t>Pack con 2 protectores solares Bioderma SPF 50+ tono dorado. Textura ultrafluida, toque seco y protección biológica interna. Ideal para piel mixta/grasa. Sin aceites y resistente al agua.</t>
  </si>
  <si>
    <t>Este pack contiene 2 unidades del protector solar Bioderma Photoderm Aquafluide SPF 50+ en tono dorado.</t>
  </si>
  <si>
    <t>147-001-012</t>
  </si>
  <si>
    <t>SolaresHacer principal, Facial, Antiedad</t>
  </si>
  <si>
    <t>1. Aplica de manera uniforme y generosa antes de la exposición solar. 2. Repite la aplicación cada 2 horas o después de cada baño, secado o actividad deportiva.</t>
  </si>
  <si>
    <t>Filtros dermatológicos UVA/UVB (protección solar), Cellular Bioprotection™ (protección biológica interna y activación de defensas naturales), Combinación sinérgica de 3 polvos (acabado toque seco matificante)</t>
  </si>
  <si>
    <t>¡Protege tu piel al máximo con este pack doble de Bioderma! Pack de 2 unidades de Bioderma Photoderm Aquafluid Neutre SPF50, un protector solar facial de textura ultrafluida y acabado al toque seco y mate. Este producto combina una asociación exclusiva de filtros dermatológicos UVA/UVB con la patente Cellular Bioprotection™, que ofrece protección óptima contra los rayos UV y activa las defensas naturales de la piel para luchar contra el envejecimiento prematuro. Su fórmula es ligera como el agua, no comedogénica, sin aceites, no grasa, sin perfume y resistente al agua. Ideal para todo tipo de piel, incluso mixtas y grasas, y con buena tolerancia cutánea. ¡Tu aliado perfecto para una protección solar diaria de alta gama!</t>
  </si>
  <si>
    <t>Photoderm Aquafluid Neutre SPF50</t>
  </si>
  <si>
    <t>2 unidades de Protector Solar Facial Bioderma Photoderm Aquafluid Neutre SPF50.</t>
  </si>
  <si>
    <t>Protector Solar Facial</t>
  </si>
  <si>
    <t>Neutre</t>
  </si>
  <si>
    <t>protector solar, bioderma, spf50, facial, aquafluid, mate, sin perfume, resistente al agua</t>
  </si>
  <si>
    <t>SPF50, Textura ultrafluida, Acabado toque seco y mate, Resistente al agua, Sin perfume, No comedogénico, Sin aceites</t>
  </si>
  <si>
    <t>protector solar bioderma, photoderm aquafluid, spf 50 facial, bloqueador solar mate, protector solar sin aceite</t>
  </si>
  <si>
    <t>Pack Bioderma Photoderm Aquafluid SPF50 Protector Solar Mate x2</t>
  </si>
  <si>
    <t>Fórmula con filtros dermatológicos UVA/UVB para protección solar de amplio espectro y la patente Cellular Bioprotection™ que protege las células de la piel. Contiene una combinación sinérgica de 3 polvos para un acabado mate.</t>
  </si>
  <si>
    <t>Pack con 2 protectores solares Bioderma Photoderm Aquafluid SPF50. Textura ultrafluida, acabado mate y protección UVA/UVB. Ideal para piel mixta y grasa. Sin perfume y resistente al agua.</t>
  </si>
  <si>
    <t>Este pack contiene 2 unidades de Bioderma Photoderm Aquafluid Neutre SPF50.</t>
  </si>
  <si>
    <t>148-001-012</t>
  </si>
  <si>
    <t>Bebé, SolaresHacer principal, Piel Atópica</t>
  </si>
  <si>
    <t>1. Aplicar de manera uniforme y generosa sobre piel sana antes de la exposición al sol. 2. Repetir la aplicación cada 2 horas o con más frecuencia después de nadar, secarse o realizar actividad deportiva. 3. Evitar la exposición solar prolongada de bebés y niños, complementar con ropa protectora y usar el producto solo en zonas descubiertas.</t>
  </si>
  <si>
    <t>Filtros UV de nueva generación (protección solar de amplio espectro), Aceite de semillas de albaricoque (refuerza la barrera cutánea), Vitamina E (protección antioxidante), Lípidos biomiméticos (hidratación y protección de la piel).</t>
  </si>
  <si>
    <t>¡Protección solar superior para la piel más delicada! Presentamos el Pack Bioderma Photoderm Pediatrics Spray SPF50+, que incluye 2 unidades de 200ml cada una. Este protector solar en spray está específicamente formulado para bebés y niños a partir de 12 meses. Cuenta con la exclusiva patente SUN BARRIER TECHNOLOGY de Bioderma, que combina filtros UV dermatológicos, Vitamina E y aceite de albaricoque para ofrecer una triple protección: de amplio espectro contra rayos UVA/UVB, antioxidante para prevenir daños a largo plazo, y de refuerzo de la barrera natural de la piel. Su fórmula multirresistente es impermeable al agua, arena y sudor, ofrece hasta 8 horas de hidratación, es invisible al aplicar y no deja efecto graso. Desarrollado con alta tolerancia, es no comedogénico, sin perfume y apto incluso para pieles atópicas y las más delicadas. Además, su fórmula es respetuosa con los ecosistemas acuáticos. ¡La elección inteligente para cuidar a tus pequeños bajo el sol!</t>
  </si>
  <si>
    <t>Bebés</t>
  </si>
  <si>
    <t>Photoderm Pediatrics Spray SPF50+</t>
  </si>
  <si>
    <t>2 unidades de protector solar Bioderma Photoderm Pediatrics Spray SPF50+ de 200ml cada una.</t>
  </si>
  <si>
    <t>Protector solar infantil en spray</t>
  </si>
  <si>
    <t>protector solar niños, bioderma photoderm, spf50+, spray, bebé, resistente agua, piel atópica, alta protección, sin perfume</t>
  </si>
  <si>
    <t>SPF50+, Triple protección solar, Resistente al agua y arena, Hasta 8h hidratación, Sin perfume, Apto piel atópica, Fórmula respetuosa con corales</t>
  </si>
  <si>
    <t>protector solar niños, bioderma pediatrics, spray solar spf50, bloqueador infantil, fotoprotector bebé, crema solar niños, protección alta niños, solar bioderma</t>
  </si>
  <si>
    <t>Pack Bioderma Photoderm Pediatrics Spray SPF50+ 2x200ml</t>
  </si>
  <si>
    <t>Fórmula con filtros UV de nueva generación (Diethylhexyl Butamido Triazone, Bis-Ethylhexyloxyphenol Methoxyphenyl Triazine, Butyl Methoxydibenzoylmethane, Ethylhexyl Triazine), aceite de semillas de albaricoque (Prunus Armeniaca Kernel Oil) para nutrir y reforzar la barrera cutánea, y Vitamina E (Tocopherol) como antioxidante para proteger las células de la piel. Incluye agentes hidratantes como Glicerina.</t>
  </si>
  <si>
    <t>Pack con 2 protectores solares Bioderma SPF50+ para bebés. Triple protección, resistente al agua y arena, sin perfume. Ideal para pieles delicadas y atópicas. ¡Protección superior!</t>
  </si>
  <si>
    <t>Este pack contiene 2 unidades de Bioderma Photoderm Pediatrics Spray SPF50+ de 200ml cada una.</t>
  </si>
  <si>
    <t>149-001-012</t>
  </si>
  <si>
    <t>1. Aplicar de manera uniforme y generosa sobre la piel sana antes de la exposición al sol. 2. Repetir la aplicación cada 2 horas o con más frecuencia después de cada baño, secado o actividad deportiva. 3. Evitar la exposición solar directa en bebés y niños pequeños, usar el producto en zonas descubiertas junto con ropa protectora.</t>
  </si>
  <si>
    <t>Aceite de semillas de albaricoque: Refuerza la función barrera de la piel, Vitamina E (Tocopherol): Protección antioxidante (77%), Filtros UV de nueva generación: Protección de amplio espectro UVA/UVB, Lípidos biomiméticos: Hidratación y protección de la barrera cutánea.</t>
  </si>
  <si>
    <t>¡Protege la delicada piel de tus pequeños con la máxima seguridad! Pack doble de Bioderma Photoderm Pediatrics Lait SPF50+ 200ml, el protector solar dermatológico diseñado específicamente para bebés y niños. Este producto de alta tecnología incorpora la patente exclusiva SUN BARRIER TECHNOLOGY, que combina 4 filtros UV no contaminantes con un perfil ecotóxico bajo para ofrecer una triple protección solar: protección UV de amplio espectro optimizada contra UVA cortos y largos, protección antioxidante con vitamina E que preserva las reservas naturales de la piel, y protección que refuerza la función de barrera natural gracias al aceite de semillas de albaricoque y lípidos biomiméticos. Su fórmula es multirresistente (agua, arena, sudor), invisible sin efecto graso ni restos blancos, ofrece 8 horas de hidratación, es de alta tolerancia, no comedogénica, sin perfume y apta para aplicación sobre piel mojada (WET SKIN). Ideal para pieles delicadas, atópicas y de niños desde los 12 meses. ¡La elección segura y responsable para el cuidado solar infantil!</t>
  </si>
  <si>
    <t>Photoderm Pediatrics Lait SPF50+</t>
  </si>
  <si>
    <t>2 unidades de Bioderma Photoderm Pediatrics Lait SPF50+ 200ml</t>
  </si>
  <si>
    <t>Protector solar para bebés</t>
  </si>
  <si>
    <t>2 x 200 ml</t>
  </si>
  <si>
    <t>protector solar bebés, bioderma photoderm, spf50+, alta protección, resistente agua, sin perfume, piel atópica, sun barrier technology</t>
  </si>
  <si>
    <t>SPF50+, Triple protección solar, Resistente al agua y arena, Sin perfume, Textura suave no grasa, Aplicación sobre piel mojada, No comedogénico, Fórmula respetuosa con ecosistemas acuáticos</t>
  </si>
  <si>
    <t>protector solar niños, bloqueador bebé, bioderma pediatrics, leche solar spf50, fotoprotector infantil, crema solar alta protección, solar bebé 12 meses, protector solar atópico</t>
  </si>
  <si>
    <t>Pack Bioderma Photoderm Pediatrics Lait SPF50+ 200ml x2</t>
  </si>
  <si>
    <t>Fórmula dermatológica con filtros UV químicos de nueva generación (Diethylhexyl Butamido Triazone, Bis-Ethylhexyloxyphenol Methoxyphenyl Triazine, Butyl Methoxydibenzoylmethane, Ethylhexyl Triazone), aceite de semillas de albaricoque (Prunus Armeniaca Kernel Oil) para refuerzo lipídico, vitamina E (Tocopherol) como antioxidante, y agentes hidratantes como Glicerina y Propanediol. Sistema libre de perfumes y con baja carga ecotóxica.</t>
  </si>
  <si>
    <t>Pack doble de protector solar Bioderma SPF50+ para bebés. Triple protección solar, resistente al agua, sin perfume. Ideal para piel delicada y atópica. Tecnología Sun Barrier. ¡Protección segura!</t>
  </si>
  <si>
    <t>Este pack contiene 2 unidades de Bioderma Photoderm Pediatrics Lait SPF50+ de 200ml cada una.</t>
  </si>
  <si>
    <t>108-001-002</t>
  </si>
  <si>
    <t>Anti Acné, Limpiadores, Piel grasa</t>
  </si>
  <si>
    <t>1. Humedece tu rostro con agua. 2. Aplica una pequeña cantidad de la crema sobre la piel húmeda. 3. Realiza un ligero masaje circular con las yemas de los dedos hasta formar una espuma cremosa. 4. Enjuaga abundantemente con agua tibia. 5. Seca tu piel con suavidad. Evita el contacto con los ojos.</t>
  </si>
  <si>
    <t>Piel Acneica</t>
  </si>
  <si>
    <t>Ácido salicílico (2%, exfolia y desobstruye poros), Aloe vera (1%, hidrata y calma), Extracto de avena (suaviza y protege la barrera cutánea), Extracto de camomila y mimosa (calma y reduce la irritación)</t>
  </si>
  <si>
    <t>¡Limpieza profunda y tratamiento antiacné en un solo paso! El Pack Doble de Sesderma Salises Crema Espumosa Sin Jabón está diseñado para la higiene facial diaria de pieles seborreicas y con tendencia acneica. Su fórmula especializada desincrusta la grasa y limpia los poros en profundidad, ofreciendo un tratamiento único o ideal para combinar con cualquier otra rutina antiacné. Con una textura que se transforma en una espuma cremosa al contacto con el agua, contiene ingredientes activos como Ácido Salicílico, Aloe Vera y extractos naturales de avena, camomila y mimosa. Es el aliado perfecto para controlar el exceso de sebo y mantener la piel limpia, fresca y sin brillos no deseados. ¡Consigue una piel más clara y uniforme con este pack de dos unidades!</t>
  </si>
  <si>
    <t>Sesderma</t>
  </si>
  <si>
    <t>Salises Crema Espumosa Sin Jabón</t>
  </si>
  <si>
    <t>2 unidades de Sesderma Salises Crema Espumosa Sin Jabón.</t>
  </si>
  <si>
    <t>Limpieza facial en crema espumosa</t>
  </si>
  <si>
    <t>limpieza facial, antiacné, crema espumosa, piel grasa, ácido salicílico, sin jabón, Sesderma, Salises, poros limpios</t>
  </si>
  <si>
    <t>Sin jabón, Formato crema espumosa, Con ácido salicílico, Con extractos naturales, Para uso diario, No fotosensible</t>
  </si>
  <si>
    <t>Sesderma Salises, crema espumosa sin jabón, limpiador facial acne, producto para piel grasa, ácido salicílico limpieza, rutina antiacné, limpieza profunda poros, pack doble limpiador facial</t>
  </si>
  <si>
    <t>Pack Doble Sesderma Salises Crema Espumosa Sin Jabón Anti Acné</t>
  </si>
  <si>
    <t>Contiene 2% de Ácido Salicílico (queratolítico y antiseborreico), 1% de Aloe Vera (hidratante y calmante), Extracto de Avena Sativa (emoliente y protector), Extracto de Camomila y Mimosa (antiinflamatorio y suavizante), y Triclosán (antiséptico). Esta combinación limpia, exfolia y regula la producción de sebo.</t>
  </si>
  <si>
    <t>Pack doble de Sesderma Salises. Crema espumosa sin jabón con ácido salicílico para limpieza facial diaria de piel grasa y acneica. Desincrusta grasa y limpia poros. ¡Compra tu pack!</t>
  </si>
  <si>
    <t>Tratamientos contra el acné y rosácea</t>
  </si>
  <si>
    <t>109-001-002</t>
  </si>
  <si>
    <t>Hidratante, Antiedad, Facial</t>
  </si>
  <si>
    <t>1. Aplica la crema sobre el rostro, cuello y escote limpios y secos. 2. Realiza un suave masaje con las yemas de los dedos hasta su completa absorción. 3. Utiliza la cantidad equivalente a presionar la bomba dosificador 3 veces para una cobertura uniforme. 4. Puedes aplicarla tanto por la mañana como por la noche.</t>
  </si>
  <si>
    <t>Piel Normal a Seca</t>
  </si>
  <si>
    <t>Ácido Hialurónico de alto peso molecular (hidrata y forma una película protectora en la superficie), Ácido Hialurónico de bajo peso molecular liposomado (penetra en capas más profundas para hidratación interna), Ácido Hialurónico de muy bajo peso molecular liposomado (actúa en las capas más profundas de la piel para una hidratación intensa)</t>
  </si>
  <si>
    <t>¡Consigue una piel hidratada, rejuvenecida y protegida con este pack doble de lujo! El Pack Doble Sesderma Hidraderm Hyal Crema Facial es tu solución definitiva para la hidratación profunda y el tratamiento anti-edad. Esta crema facial de alta eficacia está formulada con una tecnología avanzada de Ácido Hialurónico en tres pesos moleculares diferentes (alto, bajo y muy bajo), este último encapsulado en liposomas para una penetración óptima. Su innovadora fórmula permite hidratar la piel a múltiples niveles: desde la superficie, creando un efecto filmógeno protector, hasta las capas más profundas de la dermis. Ideal para pieles secas, deshidratadas e incluso sensibles, ayuda a combatir los signos del envejecimiento causados por factores externos como el clima o internos como la edad. También es perfecta para recuperar la piel después de tratamientos estéticos agresivos como peelings o láser. ¡Invierte en la salud de tu piel y disfruta de un rostro suave, elástico y luminoso con este tratamiento profesional en la comodidad de tu hogar!</t>
  </si>
  <si>
    <t>Hidraderm Hyal</t>
  </si>
  <si>
    <t>2 unidades de Crema Facial Sesderma Hidraderm Hyal</t>
  </si>
  <si>
    <t>Crema Facial Hidratante con Ácido Hialurónico</t>
  </si>
  <si>
    <t>ácido hialurónico, crema facial, hidratante, antiarrugas, sesderma, piel seca, liposomado, antiedad, cuidado facial, tratamiento</t>
  </si>
  <si>
    <t>Hidratación multinivel, Tecnología liposomada, Para pieles sensibles, Anti-envejecimiento, Recuperación post-tratamiento, Aplicación día y noche</t>
  </si>
  <si>
    <t>pack sesderma hidraderm, crema acido hialuronico, hidratante facial, tratamiento antiedad, crema para piel seca, sesderma pack doble, crema facial hidratante, antiarrugas, piel deshidratada, cuidado de la piel</t>
  </si>
  <si>
    <t>Pack Doble Crema Facial Sesderma Hidraderm Hyal - Ácido Hialurónico</t>
  </si>
  <si>
    <t>Formulada con una combinación de tres tipos de Ácido Hialurónico: de alto peso molecular libre para hidratación superficial y efecto filmógeno; y de bajo y muy bajo peso molecular, encapsulados en liposomas para garantizar su liberación controlada y penetración profunda en la piel, proporcionando hidratación intensa y duradera.</t>
  </si>
  <si>
    <t>Pack de 2 cremas faciales Sesderma con Ácido Hialurónico liposomado. Hidratación profunda multinivel, trata piel seca/deshidratada y signos de envejecimiento. Ideal para uso diario y post-tratamientos estéticos.</t>
  </si>
  <si>
    <t>Este pack contiene 2 unidades de Sesderma Hidraderm Hyal Crema Facial.</t>
  </si>
  <si>
    <t>110-001-002</t>
  </si>
  <si>
    <t>1. Asegúrate de que tu piel del rostro, cuello y escote esté limpia y seca. 2. Toma una pequeña cantidad de crema con la yema de los dedos. 3. Aplícala suavemente sobre la piel, masajeando con movimientos circulares ascendentes. 4. Continúa masajeando hasta que el producto se absorba por completo. 5. Repite este proceso dos veces al día, por la mañana y por la noche. 6. Es fundamental utilizar protector solar diariamente durante el tratamiento.</t>
  </si>
  <si>
    <t>Hidroxipinacolona Retinoato (activo pro-aging que mejora la apariencia de la piel), Progeline (péptido antiedad), Ácido Hialurónico (hidratación profunda de bajo y medio peso molecular), Silicio Orgánico (reafirma la piel), Péptidos Syn®-Tacks y Syn®-Coll (reducen la apariencia de arrugas), Vitamina E (antioxidante), Centella Asiática (antioxidante y reparadora), Aceite de Rosa Mosqueta (regenerador e hidratante), Aceite de Almendras Dulces (emoliente y suavizante), Manteca de Karité (nutre y protege la piel).</t>
  </si>
  <si>
    <t>¡Descubre el poder de la juventud con el Pack Doble de Sesderma Retisil Crema Intensiva! Este tratamiento facial pro-aging de alta eficacia está diseñado para combatir intensamente los signos del tiempo. Su fórmula avanzada reduce visiblemente las arrugas y reafirma la piel del rostro, cuello y escote, ofreciendo una mejora completa en flacidez, líneas de expresión, manchas y textura irregular. Desarrollada con el exclusivo sistema Ageless Beauty, combina activos de última generación como hidroxipinacolona retinoato, progeline y ácido hialurónico para una acción renovadora. Enriquecida con silicio orgánico, péptidos específicos Syn®-Tacks y Syn®-Coll, potentes antioxidantes como la vitamina E y Centella asiática, e ingredientes hidratantes de origen natural como aceite de rosa mosqueta, aceite de almendras dulces y manteca de karité. Consigue una piel más firme, lisa, uniforme y radiante. ¡Invierte en tu piel con el doble de beneficios y ahorro!</t>
  </si>
  <si>
    <t>Retisil Crema Intensiva</t>
  </si>
  <si>
    <t>2 unidades de Sesderma Retisil Crema Intensiva.</t>
  </si>
  <si>
    <t>Crema facial antiarrugas y reafirmante</t>
  </si>
  <si>
    <t>2 x 50 ml</t>
  </si>
  <si>
    <t>antiedad, antiarrugas, reafirmante, pro-aging, sesderma, retisil, crema facial, tratamiento intensivo, rostro, cuello, escote, hidratante, antioxidante</t>
  </si>
  <si>
    <t>Acción reafirmante, Reductor de arrugas, Mejora la flacidez, Unifica la textura de la piel, Atenúa manchas, Hidratación profunda, Con antioxidantes, Aplicación mañana y noche, Para todo tipo de piel</t>
  </si>
  <si>
    <t>crema sesderma retisil, tratamiento antiarrugas, crema pro-aging, crema reafirmante facial, sesderma retisil intensiva, crema para flacidez, crema rostro cuello escote, crema antiedad, pack crema facial, oferta sesderma</t>
  </si>
  <si>
    <t>Pack x2 Sesderma Retisil Crema Intensiva - Antiarrugas Pro-Aging</t>
  </si>
  <si>
    <t>Fórmula con Ageless Beauty System que combina hidroxipinacolona retinoato (análogo de retinol mejorado), progeline (péptido antienvejecimiento) y ácido hialurónico (para hidratación y volumen). Incluye silicio orgánico y péptidos Syn®-Tacks/Syn®-Coll para firmeza, vitamina E y Centella asiática como antioxidantes, y aceites de rosa mosqueta y almendras dulces con manteca de karité para hidratar y suavizar la piel.</t>
  </si>
  <si>
    <t>Pack con 2 cremas Sesderma Retisil Intensiva. Tratamiento pro-aging que reduce arrugas y reafirma la piel de rostro, cuello y escote. Ideal para mejorar flacidez, líneas de expresión y manchas. Para todo tipo de piel.</t>
  </si>
  <si>
    <t>Este pack contiene 2 unidades de Sesderma Retisil Crema Intensiva.</t>
  </si>
  <si>
    <t>111-001-002</t>
  </si>
  <si>
    <t>Antiedad, Ojos, Antiarrugas</t>
  </si>
  <si>
    <t>1. Asegúrate de que la piel del contorno de ojos y labios esté limpia y seca. 2. Aplica una pequeña cantidad de crema por la mañana y por la noche. 3. Distribuye el producto desde el interior hacia el exterior de la zona. 4. Realiza ligeros toquecitos con las yemas de los dedos para una mejor absorción. 5. Masajea suavemente hasta que la crema se absorba por completo.</t>
  </si>
  <si>
    <t>Hidroxipinacolona Retinoato (Retinol estable, reduce arrugas), Cafeína (Activa la microcirculación, atenúa ojeras), Ácido Hialurónico de Sodio (Hidrata y rellena), Palmitoil Tripéptido-5 (Estimula colágeno, reafirma), Fosfatidilcolina (Mejora la elasticidad), Aceite de Rosa Mosqueta (Regenera y nutre)</t>
  </si>
  <si>
    <t>¡Descubre el poder de un tratamiento profesional en casa! El Pack Doble de Sesderma Retisil Contorno de Ojos y Labios es tu aliado esencial contra los signos del tiempo. Este tratamiento intensivo pro-aging está específicamente formulado para las zonas más delicadas del rostro: el contorno de ojos y labios. Su avanzada fórmula combina activos de última generación como Hidroxipinacolona Retinoato (un retinol estable), cafeína y ácido hialurónico para actuar en múltiples frentes: reduce visiblemente las arrugas y líneas de expresión, reafirma la piel, hidrata en profundidad y aclara notablemente el aspecto de las ojeras de tono azulado. Fabricado con los más altos estándares de la dermocosmética, su textura ligera se absorbe rápidamente sin dejar residuos grasos. Consigue una mirada más descansada, juvenil y radiante con este pack de 2 unidades, ideal para un tratamiento continuo y efectivo. ¡Invierte en tu belleza con resultados visibles!</t>
  </si>
  <si>
    <t>Retisil</t>
  </si>
  <si>
    <t>2 unidades de Crema de Ojos y Labios Sesderma Retisil de 30ml cada una.</t>
  </si>
  <si>
    <t>Crema Contorno de Ojos y Labios</t>
  </si>
  <si>
    <t>2 x 30 ml</t>
  </si>
  <si>
    <t>antiedad, contorno de ojos, ojeras, arrugas, reafirmante, sesderma, retisil, pro-aging, hidratante, dermocosmética</t>
  </si>
  <si>
    <t>Tratamiento pro-aging intensivo, Reduce arrugas y líneas de expresión, Reafirma la piel, Hidratación profunda, Aclara ojeras azuladas, Textura de rápida absorción, Fórmula con retinol estable y cafeína</t>
  </si>
  <si>
    <t>crema ojos, contorno de ojos, sesderma retisil, antiarrugas, ojeras, crema antiedad, tratamiento ojos, crema labios, dermocosmética, pack doble</t>
  </si>
  <si>
    <t>Pack x2 Crema Ojos y Labios Sesderma Retisil Antiedad</t>
  </si>
  <si>
    <t>Fórmula acuosa enriquecida con siliconas, emolientes y activos pro-aging. Contiene una combinación de Hidroxipinacolona Retinoato (forma estable de retinol para renovación celular), Cafeína (para activar la microcirculación y reducir la apariencia de ojeras), Péptidos (Palmitoil Tripéptido-5 y otros dipéptidos para estimular el colágeno y reafirmar), Ácido Hialurónico (para hidratación y volumen), y extractos botánicos (Centella Asiática y Cola de Caballo) con propiedades calmantes y antioxidantes.</t>
  </si>
  <si>
    <t>Pack doble de Crema Sesderma Retisil para contorno de ojos y labios. Tratamiento pro-aging que reduce arrugas, reafirma, hidrata y aclara ojeras. Fórmula con retinol estable y cafeína. ¡Resultados visibles!</t>
  </si>
  <si>
    <t>Este pack contiene 2 unidades de la Crema de Ojos y Labios Sesderma Retisil de 30ml cada una.</t>
  </si>
  <si>
    <t>112-001-002</t>
  </si>
  <si>
    <t>1. Para la Crema Intensiva: Aplicar mañana y noche sobre el rostro, cuello y escote con la piel limpia y seca. Masajear suavemente hasta su completa absorción. Usar protector solar diariamente. 2. Para el Contorno de Ojos y Labios: Aplicar mañana y noche en el contorno de ojos y labios con la piel limpia y seca. Aplicar desde el interior hacia el exterior con ligeros toques con los dedos y masajear suavemente.</t>
  </si>
  <si>
    <t>Hidroxipinacolona retinoato (reduce arrugas), Péptidos Syn®-Tacks / Syn®-Coll (reafirma la piel), Ácido hialurónico (hidrata y rellena), Silicio orgánico (mejora firmeza), Vitamina E y Centella asiática (antioxidantes), Aceite de rosa mosqueta y almendras dulces (hidratan y suavizan), Cafeína (mejora ojeras), Fitomenadiona epóxido (aclara ojeras).</t>
  </si>
  <si>
    <t>¡Transforma tu rutina de belleza con el Pack Pro-Aging Sesderma Retisil! Este exclusivo set combina la poderosa Crema Intensiva para rostro, cuello y escote con el especializado Contorno de Ojos y Labios, diseñados para una acción antiedad integral. La Crema Intensiva, con su avanzado sistema Ageless Beauty, reduce arrugas, reafirma la piel y mejora la flacidez, manchas y textura irregular gracias a ingredientes como el hidroxipinacolona retinoato, péptidos y ácido hialurónico. El Contorno de Ojos y Labios actúa específicamente en las zonas más delicadas, hidratando, aclarando ojeras y reduciendo arrugas locales con activos como cafeína y fitomenadiona. Fabricados con tecnología dermocosmética de alta calidad, ofrecen una hidratación profunda y resultados visibles. ¡Consigue una piel más firme, lisa y radiante con este dúo de tratamiento especializado!</t>
  </si>
  <si>
    <t>1 frasco de Crema Intensiva Sesderma Retisil, 1 frasco de Contorno de Ojos y Labios Sesderma Retisil.</t>
  </si>
  <si>
    <t>Pack de Cremas Antiedad Facial</t>
  </si>
  <si>
    <t>antiedad, antiarrugas, crema facial, contorno de ojos, pro-aging, sesderma, retisil, hidratante, reafirmante, ojeras</t>
  </si>
  <si>
    <t>Reduce arrugas, Reafirma la piel, Mejora la flacidez, Aclara ojeras, Hidratación intensiva, Antioxidante, Para rostro, cuello y escote, Para contorno de ojos y labios</t>
  </si>
  <si>
    <t>pack sesderma retisil, crema antiedad, contorno de ojos, tratamiento facial, crema para arrugas, crema pro aging, sesderma retisil crema, crema para ojeras, rutina antiedad</t>
  </si>
  <si>
    <t>Pack Sesderma Retisil - Crema Antiedad y Contorno de Ojos</t>
  </si>
  <si>
    <t>Crema Intensiva: Contiene hidroxipinacolona retinoato (análogo de retinol), péptidos (Syn®-Tacks, Syn®-Coll), ácido hialurónico, silicio orgánico, vitamina E, centella asiática, aceite de rosa mosqueta y aceite de almendras dulces para combatir los signos de la edad. Contorno de Ojos: Formulado con cafeína (descongestivo), fitomenadiona epóxido (aclarante), hidroxipinacolona retinoato, péptidos (palmitoil tripéptido-5), ácido hialurónico y extracto de centella asiática para tratar la delicada piel del contorno ocular y labial.</t>
  </si>
  <si>
    <t>Pack antiedad Sesderma Retisil con Crema Intensiva y Contorno de Ojos. Reduce arrugas, reafirma, hidrata y aclara ojeras. Tratamiento facial completo para una piel más joven.</t>
  </si>
  <si>
    <t>Este pack contiene: 1 unidad de Sesderma Retisil Crema Intensiva y 1 unidad de Sesderma Retisil Contorno de Ojos y Labios.</t>
  </si>
  <si>
    <t>113-001-015</t>
  </si>
  <si>
    <t>SolaresHacer principal, Facial, Corporal</t>
  </si>
  <si>
    <t>1. Para Fusion Water Magic (rostro): Aplica generosamente sobre la piel seca del rostro, cuello, nuca y orejas. Usa la cantidad equivalente a dos líneas de producto en dos dedos. 2. Para Hydrolotion (cuerpo): Agita el frasco durante 5 segundos para mezclar bien. Aplica generosamente sobre la piel seca media hora antes de la exposición solar. 3. Reaplica ambos productos cada 2 horas y después de nadar, sudar o secarte con una toalla.</t>
  </si>
  <si>
    <t>Ácido hialurónico (hidrata y rellena), Mediterranean Alga Extract (acción antioxidante), Vitamina E (protege contra el daño oxidativo), Chlorella Maris (evita la oxidación de la piel), Filtros solares de amplio espectro (protección UVB/UVA SPF50+).</t>
  </si>
  <si>
    <t>¡Protección solar completa de ISDIN para tu día a día y tus aventuras al aire libre! Este pack exclusivo combina dos fotoprotectores de alta gama. El Fusion Water Magic SPF 50 es un protector facial con textura ultraligera de fase externa acuosa, que se absorbe al instante dejando un acabado sedoso y sin sensación grasa. Protege, hidrata y aporta acción antioxidante gracias a sus ingredientes activos. El Hydrolotion 50+ es un fotoprotector corporal bifásico de muy alta protección, formulado sin alcohol y resistente al agua. Su fórmula con Chlorella Maris ayuda a evitar la oxidación de la piel, ofreciendo un secado inmediato. Ideal para todo tipo de pieles, incluyendo las sensibles. ¡Tu piel merece la mejor defensa contra el sol!</t>
  </si>
  <si>
    <t>ISDIN</t>
  </si>
  <si>
    <t>Fusion Water Magic + Hydrolotion Pack</t>
  </si>
  <si>
    <t>1 frasco de Fotoprotector ISDIN Fusion Water Magic SPF 50 de 50ml, 1 frasco de Fotoprotector ISDIN Hydrolotion 50+ de 200ml.</t>
  </si>
  <si>
    <t>Protector solar, Bloqueador solar</t>
  </si>
  <si>
    <t>250 ml</t>
  </si>
  <si>
    <t>protector solar, isdin, fusion water, hydrolotion, spf 50, facial, corporal, resistente al agua, antioxidante, piel sensible</t>
  </si>
  <si>
    <t>Alta protección SPF 50+, Textura ultraligera, Resistente al agua, Sin alcohol, Con antioxidantes, Secado inmediato, Testado dermatológicamente</t>
  </si>
  <si>
    <t>protector solar isdin, pack protector solar, fusion water magic, hydrolotion, bloqueador facial, bloqueador corporal, spf 50, farmacia, cuidado de la piel, verano</t>
  </si>
  <si>
    <t>Pack Protector Solar ISDIN Fusion Water Magic + Hydrolotion SPF50</t>
  </si>
  <si>
    <t>Fusion Water Magic: Contiene ácido hialurónico para hidratación profunda, extracto de alga mediterránea como antioxidante y vitamina E para protección adicional. Hydrolotion 50+: Formulación bifásica con filtros solares de amplio espectro (Octocrylene, Butyl Methoxydibenzoylmethane, etc.), Chlorella Maris para prevenir la oxidación y agentes hidratantes como Glicerina.</t>
  </si>
  <si>
    <t>Pack ISDIN con protector facial ultraligero Fusion Water Magic SPF50 y corporal Hydrolotion 50+ resistente al agua. Protección completa, hidratación y antioxidantes para todo tipo de piel. ¡Defiende tu piel del sol!</t>
  </si>
  <si>
    <t>Este pack contiene: 1 unidad de Fotoprotector ISDIN Fusion Water Magic SPF 50 de 50ml y 1 unidad de Fotoprotector ISDIN Hydrolotion 50+ de 200ml.</t>
  </si>
  <si>
    <t>114-001-015</t>
  </si>
  <si>
    <t>1. Para el Invisible Stick: Aplica generosamente el stick directamente sobre la piel limpia y seca, especialmente en zonas sensibles como rostro, labios, orejas o cicatrices. Reaplica cada 2 horas, o después de nadar, sudar o secarte con una toalla. 2. Para el Fusion Water Magic: Aplica generosamente sobre la piel seca. Usa la cantidad equivalente a dos líneas de producto extendidas en dos dedos para el rostro. Distribúyelo homogéneamente por todo el rostro, cuello, nuca y orejas.</t>
  </si>
  <si>
    <t>Phaeodactylum tricornutum Extract (extracto de microalgas antioxidante), Brassica campestris Sterols (refuerza la barrera cutánea), Vitamina E (antioxidante que protege de radicales libres), Manteca de karité (nutre e hidrata), Pantenol (calma y suaviza), Ácido hialurónico (hidratante), Mediterranean Alga Extract (extracto de alga mediterránea).</t>
  </si>
  <si>
    <t>¡Protección solar de alto rendimiento en un pack completo! Descubre el pack ISDIN que incluye el Fotoprotector Invisible Stick SPF 50 y el Fotoprotector Fusion Water Magic SPF 50. El Invisible Stick es un práctico protector en formato stick de 10 g, con textura invisible que no deja brillos ni sensación pegajosa, ideal para zonas sensibles como labios, orejas y cicatrices. Es resistente al agua y al sudor. El Fusion Water Magic es un fotoprotector facial ultraligero de 50 ml, con textura de fase externa acuosa que se absorbe inmediatamente, dejando un acabado sedoso. Ambos productos ofrecen protección SPF 50, hidratan la piel y aportan acción antioxidante para combatir los signos del envejecimiento. Fabricados con ingredientes de alta calidad como extracto de microalgas, vitamina E, manteca de karité y ácido hialurónico. ¡Tu defensa solar diaria más cómoda y eficaz en un solo pack!</t>
  </si>
  <si>
    <t>Invisible Stick + Fusion Water Magic</t>
  </si>
  <si>
    <t>1 unidad de ISDIN Fotoprotector Invisible Stick SPF 50 (10 g), 1 unidad de Fotoprotector ISDIN Fusion Water Magic SPF 50 (50 ml).</t>
  </si>
  <si>
    <t>Pack de protectores solares faciales</t>
  </si>
  <si>
    <t>1 stick de 10 g + 1 frasco de 50 ml</t>
  </si>
  <si>
    <t>protector solar, SPF 50, ISDIN, facial, stick, invisible, fusion water, hidratante, antioxidante, resistente al agua</t>
  </si>
  <si>
    <t>SPF 50, Textura invisible, Resistente al agua y al sudor, Absorción inmediata, Con ácido hialurónico, Con vitamina E</t>
  </si>
  <si>
    <t>protector solar ISDIN, pack protector solar, fusion water magic, invisible stick, SPF 50 facial, bloqueador solar, cuidado de la piel, antiarrugas, protección diaria</t>
  </si>
  <si>
    <t>Pack Protector Solar ISDIN SPF 50: Invisible Stick + Fusion Water</t>
  </si>
  <si>
    <t>El Invisible Stick contiene extracto de microalgas (Phaeodactylum tricornutum) por su poder antioxidante, esteroles de Brassica campestris para reforzar la barrera cutánea, vitamina E para neutralizar radicales libres, manteca de karité para nutrir y pantenol para calmar. El Fusion Water Magic contiene ácido hialurónico para hidratar, extracto de alga mediterránea y vitamina E como antioxidantes.</t>
  </si>
  <si>
    <t>Pack ISDIN con protector solar Invisible Stick SPF 50 y Fusion Water Magic 50ml. Protección completa, texturas invisibles y ultraligeras, ideales para todo tipo de piel. ¡Hidratación y defensa antioxidante en un solo set!</t>
  </si>
  <si>
    <t>Este pack contiene: 1 unidad de ISDIN Fotoprotector Invisible Stick SPF 50 (10 g) y 1 unidad de Fotoprotector ISDIN Fusion Water Magic SPF 50 (50 ml).</t>
  </si>
  <si>
    <t>Pack Facial Avene Sérum Vitamina Cg 30ML + Solar Fluido Mat Perfect SPF50+ Color 50 ml</t>
  </si>
  <si>
    <t>Pack Cuidado Facial Avene Sérum Vitamina Cg 30ML + Protector Solar Fluido Mineral SPF 50+ 40ML</t>
  </si>
  <si>
    <t>Pack Cuidado Facial Avene Sérum Vitamina Cg 30ML + Protector Solar Ultra Mat SPF 50+ 50 ml</t>
  </si>
  <si>
    <t>Pack Avene Sérum Vitamina Cg 30ml + Protector Solar Fluido Mineral con Color SPF50+ 40ml</t>
  </si>
  <si>
    <t>Pack Dúo Avene Vitamina Cg Serum 30ML (x2)</t>
  </si>
  <si>
    <t>Pack Dúo Avene Sérum Antiedad Hyaluron Activ B3 x2</t>
  </si>
  <si>
    <t>Pack Martiderm Gel Micelar Limpiador 200ml + Solución Micelar Limpiadora 300ml</t>
  </si>
  <si>
    <t>Pack Limpieza Facial Martiderm Gel Micelar Limpiador 200ml + Desmaquillante de Ojos Bifásico 125ml</t>
  </si>
  <si>
    <t>Pack Cuidado Facial Martiderm Gel Micelar Limpiador 200ml + Mascarilla Purificante Pure-Mask 75ml</t>
  </si>
  <si>
    <t>Pack Dúo Martiderm Proteos Screen SPF 50+ - 2 unidades de 40ml cada una</t>
  </si>
  <si>
    <t>Pack Dúo Martiderm Epigence 145 Cream - Crema Antiarrugas y Luminosidad (2 x 50ml)</t>
  </si>
  <si>
    <t>Pack Dúo Cremas Nocturnas Martiderm Amatist Night Cream 50Ml</t>
  </si>
  <si>
    <t>Pack Dúo Martiderm Eye Correct - Tratamiento Día y Noche para Contorno de Ojos</t>
  </si>
  <si>
    <t>Pack Dúo de Martiderm Photo-Age Ha+ – 20 Ampollas en total con vitamina C y ácido hialurónico</t>
  </si>
  <si>
    <t>Pack Martiderm Eye Correct + Photo-Age Ha+ – 10 Ampoules para contorno de ojos y antiedad facial.</t>
  </si>
  <si>
    <t>Pack Dúo Frezyderm Color Eye Balm 15ml - Crema Contorno de Ojos Antiarrugas</t>
  </si>
  <si>
    <t>Pack Dúo Frezyderm Eye Balm - 2 unidades Crema Contorno de Ojos de 15 ml cada una</t>
  </si>
  <si>
    <t>Pack Tratamiento Contorno de Ojos - Frezyderm Eye Balm 15 ml y Color Eye Balm 15 ml</t>
  </si>
  <si>
    <t>Pack Dúo Frezyderm Sebum Control Shampoo 200 Ml - cuero cabelludo graso y dermatitis seborreica</t>
  </si>
  <si>
    <t>Pack Dúo Frezyderm Velvet Moisturizing 50 ml para Piel Madura (x2)</t>
  </si>
  <si>
    <t>Pack Dúo Frezyderm Diamond Wrinkle Fighter 40ml (x2) antienvejecimiento con aplicador</t>
  </si>
  <si>
    <t>Pack Antiedad Frezyderm Crema Velvet Moisturizing 50ml + Tratamiento Wrinkle Fighter 40ml</t>
  </si>
  <si>
    <t>Pack Dúo Bioderma Atoderm Huile De Douche FP1L (x2) - Aceite de Ducha para Piel Muy Seca y Atópica</t>
  </si>
  <si>
    <t>Pack Bioderma Node DS+ Shampooing T - 2 Unidades de 125ML - Tratamiento contra la caspa</t>
  </si>
  <si>
    <t>Pack Bioderma Pigmentbio H2O - Agua Micelar Iluminadora x2 Unidades - Tratamiento Manchas</t>
  </si>
  <si>
    <t>Pack Bioderma Photoderm Aquafluide SPF 50+ Dorée - Protector Solar con Color Dorado (x2)</t>
  </si>
  <si>
    <t>Pack Bioderma Photoderm Pediatrics Spray SPF50+ - 2 Unidades de 200ml - Protector solar infantil</t>
  </si>
  <si>
    <t>Pack Dúo Sesderma Salises Crema Espumosa Sin Jabón - Limpieza Facial para Piel Acneica</t>
  </si>
  <si>
    <t>Pack Dúo Sesderma Retisil Contorno de Ojos y Labios - Tratamiento Pro-Aging Intensivo</t>
  </si>
  <si>
    <t>Pack Protector Solar ISDIN Fotoprotector Invisible Stick SPF 50 + Fusion Water Magic 50ml</t>
  </si>
  <si>
    <t>Pack Limpieza Facial Avene Espuma Limpiadora 150 ml + Cleanance Gel 200 ml</t>
  </si>
  <si>
    <t>Pack Avene Sérums Hyaluron Activ B3 + Vitamina Cg - Tratamiento Antiedad Completo Piel Sensible</t>
  </si>
  <si>
    <t>Pack Dúo Bioderma Sensibio Gel Moussant 500ml (x2) - micelar limpiador y calmante piel sensible</t>
  </si>
  <si>
    <t>Pack Bioderma Pigmentbio H2O 250ml (Iluminador) + Sensibio Gel Moussant 500ml (Calmante)</t>
  </si>
  <si>
    <t>Pack Bioderma Photoderm Aquafluid Neutre SPF50 (x2) - Protector Solar Facial Acabado Mate</t>
  </si>
  <si>
    <t>Pack Dúo Bioderma Photoderm Pediatrics Lait SPF50+ 200ml (x2) - resistente al agua</t>
  </si>
  <si>
    <t>Pack Dúo Sesderma Hidraderm Hyal Crema Facial con Ácido Hialurónico Liposomado</t>
  </si>
  <si>
    <t>Pack Dúo Sesderma Retisil Crema Intensiva (x2) - Tratamiento Reafirmante y Antiarrugas</t>
  </si>
  <si>
    <t>Pack Tratamiento Antiedad Sesderma Retisil Crema Intensiva + Contorno de Ojos y Labios</t>
  </si>
  <si>
    <t>Pack Solar ISDIN Fusion Water Magic SPF 50 50ml (facial) + Hydrolotion 50+ 200ml (corporal)</t>
  </si>
  <si>
    <t>Precio Normal</t>
  </si>
  <si>
    <t>Facial</t>
  </si>
  <si>
    <t xml:space="preserve"> Piel grasa</t>
  </si>
  <si>
    <t>Antiedad</t>
  </si>
  <si>
    <t xml:space="preserve"> Facial</t>
  </si>
  <si>
    <t xml:space="preserve"> Antiedad</t>
  </si>
  <si>
    <t>Antiojeras</t>
  </si>
  <si>
    <t>Antiarrugas</t>
  </si>
  <si>
    <t xml:space="preserve"> Ojos</t>
  </si>
  <si>
    <t>Capilar</t>
  </si>
  <si>
    <t>Piel seca</t>
  </si>
  <si>
    <t xml:space="preserve"> Piel Atópica</t>
  </si>
  <si>
    <t>Anticaspa</t>
  </si>
  <si>
    <t>Antimanchas</t>
  </si>
  <si>
    <t>Bebé</t>
  </si>
  <si>
    <t>Anti Acné</t>
  </si>
  <si>
    <t>Hidratante</t>
  </si>
  <si>
    <t xml:space="preserve"> Corporal</t>
  </si>
  <si>
    <t>Solares</t>
  </si>
  <si>
    <t>MPE392701</t>
  </si>
  <si>
    <t>MPE392452</t>
  </si>
  <si>
    <t>MPE123356</t>
  </si>
  <si>
    <t>MPE392393</t>
  </si>
  <si>
    <t>MPE429448</t>
  </si>
  <si>
    <t>MPE122792</t>
  </si>
  <si>
    <t>R300202000000</t>
  </si>
  <si>
    <t>R300105000000</t>
  </si>
  <si>
    <t>R300806000000</t>
  </si>
  <si>
    <t>R300802000000</t>
  </si>
  <si>
    <t>R300804000000</t>
  </si>
  <si>
    <t>R300801000000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</si>
</sst>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applyNumberFormat="1"/>
    <xf numFmtId="0" fontId="0" fillId="2" borderId="0" xfId="0" applyNumberFormat="1" applyFont="1" applyFill="1"/>
    <xf numFmtId="0" fontId="0" fillId="2" borderId="0" xfId="0" applyNumberFormat="1" applyFill="1"/>
    <xf numFmtId="0" fontId="1" fillId="0" borderId="1" xfId="0" applyNumberFormat="1" applyFont="1" applyBorder="1" applyAlignment="1">
      <alignment vertical="center"/>
    </xf>
    <xf numFmtId="0" fontId="1" fillId="0" borderId="1" xfId="0" applyNumberFormat="1" applyFont="1" applyBorder="1" applyAlignment="1">
      <alignment wrapText="1"/>
    </xf>
    <xf numFmtId="0" fontId="0" fillId="0" borderId="0" xfId="0"/>
  </cellXfs>
  <cellStyles count="1">
    <cellStyle name="Normal" xfId="0" builtinId="0"/>
  </cellStyles>
  <dxfs count="1">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41"/>
  <sheetViews>
    <sheetView tabSelected="1" workbookViewId="0">
      <selection activeCell="A5" sqref="A5"/>
    </sheetView>
  </sheetViews>
  <sheetFormatPr baseColWidth="10" defaultRowHeight="15.6" x14ac:dyDescent="0.3"/>
  <cols>
    <col min="1" max="1" width="11.09765625" bestFit="1" customWidth="1"/>
    <col min="2" max="2" width="11.09765625" customWidth="1"/>
    <col min="3" max="3" width="82.69921875" hidden="1" customWidth="1"/>
    <col min="4" max="4" width="3.8984375" hidden="1" customWidth="1"/>
    <col min="5" max="5" width="12.69921875" hidden="1" customWidth="1"/>
    <col min="6" max="9" width="0" hidden="1" customWidth="1"/>
  </cols>
  <sheetData>
    <row r="1" spans="1:42" x14ac:dyDescent="0.3">
      <c r="A1" t="s">
        <v>0</v>
      </c>
      <c r="C1" t="s">
        <v>1</v>
      </c>
      <c r="D1">
        <f t="shared" ref="D1:D41" si="0">LEN(C1)</f>
        <v>6</v>
      </c>
      <c r="E1" t="s">
        <v>731</v>
      </c>
      <c r="F1" t="s">
        <v>2</v>
      </c>
      <c r="G1" t="s">
        <v>2</v>
      </c>
      <c r="J1" t="s">
        <v>3</v>
      </c>
      <c r="K1" t="s">
        <v>4</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L1" t="s">
        <v>30</v>
      </c>
      <c r="AN1" t="s">
        <v>31</v>
      </c>
      <c r="AP1" t="s">
        <v>32</v>
      </c>
    </row>
    <row r="2" spans="1:42" x14ac:dyDescent="0.3">
      <c r="A2" t="s">
        <v>251</v>
      </c>
      <c r="B2">
        <f>VLOOKUP(A2,Hoja1!B:C,2,0)</f>
        <v>1</v>
      </c>
      <c r="C2" t="s">
        <v>702</v>
      </c>
      <c r="D2">
        <f t="shared" ref="D2:D39" si="1">LEN(C2)</f>
        <v>60</v>
      </c>
      <c r="E2">
        <v>232.88</v>
      </c>
      <c r="F2" t="s">
        <v>252</v>
      </c>
      <c r="G2" t="s">
        <v>734</v>
      </c>
      <c r="H2" t="e">
        <f>VLOOKUP(G2,Hoja1!B:C,2,0)</f>
        <v>#N/A</v>
      </c>
      <c r="J2" t="s">
        <v>253</v>
      </c>
      <c r="K2" t="s">
        <v>254</v>
      </c>
      <c r="L2" t="s">
        <v>255</v>
      </c>
      <c r="M2" t="s">
        <v>256</v>
      </c>
      <c r="N2" t="s">
        <v>175</v>
      </c>
      <c r="O2">
        <v>0.25</v>
      </c>
      <c r="P2" t="s">
        <v>109</v>
      </c>
      <c r="Q2" t="s">
        <v>257</v>
      </c>
      <c r="R2" t="s">
        <v>258</v>
      </c>
      <c r="S2" t="s">
        <v>259</v>
      </c>
      <c r="T2" t="s">
        <v>260</v>
      </c>
      <c r="V2">
        <v>5</v>
      </c>
      <c r="W2">
        <v>5</v>
      </c>
      <c r="X2">
        <v>12</v>
      </c>
      <c r="Y2" t="s">
        <v>261</v>
      </c>
      <c r="Z2">
        <v>100</v>
      </c>
      <c r="AA2" t="s">
        <v>262</v>
      </c>
      <c r="AB2" t="s">
        <v>263</v>
      </c>
      <c r="AD2">
        <v>0.2</v>
      </c>
      <c r="AE2" t="s">
        <v>264</v>
      </c>
      <c r="AF2" t="s">
        <v>265</v>
      </c>
      <c r="AH2" t="s">
        <v>266</v>
      </c>
      <c r="AJ2" t="s">
        <v>136</v>
      </c>
      <c r="AK2" t="s">
        <v>751</v>
      </c>
      <c r="AL2" t="s">
        <v>55</v>
      </c>
      <c r="AM2" t="s">
        <v>758</v>
      </c>
      <c r="AN2" t="s">
        <v>75</v>
      </c>
      <c r="AO2">
        <v>2257</v>
      </c>
      <c r="AP2" t="s">
        <v>267</v>
      </c>
    </row>
    <row r="3" spans="1:42" x14ac:dyDescent="0.3">
      <c r="A3" t="s">
        <v>138</v>
      </c>
      <c r="B3">
        <f>VLOOKUP(A3,Hoja1!B:C,2,0)</f>
        <v>2</v>
      </c>
      <c r="C3" t="s">
        <v>695</v>
      </c>
      <c r="D3">
        <f t="shared" si="1"/>
        <v>42</v>
      </c>
      <c r="E3">
        <v>243.2</v>
      </c>
      <c r="F3" t="s">
        <v>58</v>
      </c>
      <c r="G3" t="s">
        <v>734</v>
      </c>
      <c r="H3" t="e">
        <f>VLOOKUP(G3,Hoja1!B:C,2,0)</f>
        <v>#N/A</v>
      </c>
      <c r="J3" t="s">
        <v>139</v>
      </c>
      <c r="K3" t="s">
        <v>92</v>
      </c>
      <c r="L3" t="s">
        <v>140</v>
      </c>
      <c r="M3" t="s">
        <v>141</v>
      </c>
      <c r="N3" t="s">
        <v>63</v>
      </c>
      <c r="O3">
        <v>0.25</v>
      </c>
      <c r="P3" t="s">
        <v>40</v>
      </c>
      <c r="Q3" t="s">
        <v>142</v>
      </c>
      <c r="R3" t="s">
        <v>143</v>
      </c>
      <c r="S3" t="s">
        <v>144</v>
      </c>
      <c r="T3" t="s">
        <v>145</v>
      </c>
      <c r="V3">
        <v>4</v>
      </c>
      <c r="W3">
        <v>12</v>
      </c>
      <c r="X3">
        <v>4</v>
      </c>
      <c r="Y3" t="s">
        <v>146</v>
      </c>
      <c r="Z3">
        <v>60</v>
      </c>
      <c r="AA3" t="s">
        <v>147</v>
      </c>
      <c r="AB3" t="s">
        <v>148</v>
      </c>
      <c r="AD3">
        <v>0.2</v>
      </c>
      <c r="AE3" t="s">
        <v>149</v>
      </c>
      <c r="AF3" t="s">
        <v>150</v>
      </c>
      <c r="AH3" t="s">
        <v>151</v>
      </c>
      <c r="AJ3" t="s">
        <v>136</v>
      </c>
      <c r="AK3" t="s">
        <v>751</v>
      </c>
      <c r="AL3" t="s">
        <v>55</v>
      </c>
      <c r="AM3" t="s">
        <v>758</v>
      </c>
      <c r="AN3" t="s">
        <v>75</v>
      </c>
      <c r="AO3">
        <v>2257</v>
      </c>
      <c r="AP3" t="s">
        <v>152</v>
      </c>
    </row>
    <row r="4" spans="1:42" x14ac:dyDescent="0.3">
      <c r="A4" t="s">
        <v>484</v>
      </c>
      <c r="B4">
        <f>VLOOKUP(A4,Hoja1!B:C,2,0)</f>
        <v>3</v>
      </c>
      <c r="C4" t="s">
        <v>723</v>
      </c>
      <c r="D4">
        <f t="shared" si="1"/>
        <v>95</v>
      </c>
      <c r="E4">
        <v>159.9</v>
      </c>
      <c r="F4" t="s">
        <v>485</v>
      </c>
      <c r="G4" t="s">
        <v>732</v>
      </c>
      <c r="H4" t="e">
        <f>VLOOKUP(G4,Hoja1!B:C,2,0)</f>
        <v>#N/A</v>
      </c>
      <c r="J4" t="s">
        <v>486</v>
      </c>
      <c r="K4" t="s">
        <v>487</v>
      </c>
      <c r="L4" t="s">
        <v>488</v>
      </c>
      <c r="M4" t="s">
        <v>489</v>
      </c>
      <c r="N4" t="s">
        <v>433</v>
      </c>
      <c r="O4">
        <v>1.2</v>
      </c>
      <c r="P4" t="s">
        <v>40</v>
      </c>
      <c r="Q4" t="s">
        <v>490</v>
      </c>
      <c r="R4" t="s">
        <v>491</v>
      </c>
      <c r="S4" t="s">
        <v>492</v>
      </c>
      <c r="T4" t="s">
        <v>493</v>
      </c>
      <c r="U4" t="s">
        <v>49</v>
      </c>
      <c r="V4">
        <v>8</v>
      </c>
      <c r="W4">
        <v>20</v>
      </c>
      <c r="X4">
        <v>8</v>
      </c>
      <c r="Y4" t="s">
        <v>494</v>
      </c>
      <c r="Z4">
        <v>1000</v>
      </c>
      <c r="AA4" t="s">
        <v>495</v>
      </c>
      <c r="AB4" t="s">
        <v>496</v>
      </c>
      <c r="AC4" t="s">
        <v>49</v>
      </c>
      <c r="AD4">
        <v>1</v>
      </c>
      <c r="AE4" t="s">
        <v>497</v>
      </c>
      <c r="AF4" t="s">
        <v>498</v>
      </c>
      <c r="AG4" t="s">
        <v>433</v>
      </c>
      <c r="AH4" t="s">
        <v>499</v>
      </c>
      <c r="AI4" t="s">
        <v>89</v>
      </c>
      <c r="AJ4" t="s">
        <v>136</v>
      </c>
      <c r="AK4" t="s">
        <v>751</v>
      </c>
      <c r="AL4" t="s">
        <v>55</v>
      </c>
      <c r="AM4" t="s">
        <v>758</v>
      </c>
      <c r="AN4" t="s">
        <v>56</v>
      </c>
      <c r="AO4">
        <v>1754</v>
      </c>
      <c r="AP4" t="s">
        <v>500</v>
      </c>
    </row>
    <row r="5" spans="1:42" x14ac:dyDescent="0.3">
      <c r="A5" t="s">
        <v>646</v>
      </c>
      <c r="B5">
        <f>VLOOKUP(A5,Hoja1!B:C,2,0)</f>
        <v>4</v>
      </c>
      <c r="C5" t="s">
        <v>729</v>
      </c>
      <c r="D5">
        <f t="shared" si="1"/>
        <v>86</v>
      </c>
      <c r="E5">
        <v>458.9</v>
      </c>
      <c r="F5" t="s">
        <v>121</v>
      </c>
      <c r="G5" t="s">
        <v>734</v>
      </c>
      <c r="H5" t="e">
        <f>VLOOKUP(G5,Hoja1!B:C,2,0)</f>
        <v>#N/A</v>
      </c>
      <c r="J5" t="s">
        <v>647</v>
      </c>
      <c r="K5" t="s">
        <v>60</v>
      </c>
      <c r="L5" t="s">
        <v>648</v>
      </c>
      <c r="M5" t="s">
        <v>649</v>
      </c>
      <c r="N5" t="s">
        <v>588</v>
      </c>
      <c r="O5">
        <v>0.35</v>
      </c>
      <c r="P5" t="s">
        <v>109</v>
      </c>
      <c r="Q5" t="s">
        <v>635</v>
      </c>
      <c r="R5" t="s">
        <v>650</v>
      </c>
      <c r="S5" t="s">
        <v>651</v>
      </c>
      <c r="T5" t="s">
        <v>128</v>
      </c>
      <c r="U5" t="s">
        <v>228</v>
      </c>
      <c r="V5">
        <v>12</v>
      </c>
      <c r="W5">
        <v>8</v>
      </c>
      <c r="X5">
        <v>18</v>
      </c>
      <c r="Y5" t="s">
        <v>652</v>
      </c>
      <c r="AA5" t="s">
        <v>653</v>
      </c>
      <c r="AB5" t="s">
        <v>654</v>
      </c>
      <c r="AC5" t="s">
        <v>228</v>
      </c>
      <c r="AD5">
        <v>0.3</v>
      </c>
      <c r="AE5" t="s">
        <v>655</v>
      </c>
      <c r="AF5" t="s">
        <v>656</v>
      </c>
      <c r="AG5" t="s">
        <v>588</v>
      </c>
      <c r="AH5" t="s">
        <v>657</v>
      </c>
      <c r="AJ5" t="s">
        <v>136</v>
      </c>
      <c r="AK5" t="s">
        <v>751</v>
      </c>
      <c r="AL5" t="s">
        <v>55</v>
      </c>
      <c r="AM5" t="s">
        <v>758</v>
      </c>
      <c r="AN5" t="s">
        <v>75</v>
      </c>
      <c r="AO5">
        <v>2257</v>
      </c>
      <c r="AP5" t="s">
        <v>658</v>
      </c>
    </row>
    <row r="6" spans="1:42" x14ac:dyDescent="0.3">
      <c r="A6" t="s">
        <v>466</v>
      </c>
      <c r="B6">
        <f>VLOOKUP(A6,Hoja1!B:C,2,0)</f>
        <v>5</v>
      </c>
      <c r="C6" t="s">
        <v>715</v>
      </c>
      <c r="D6">
        <f t="shared" si="1"/>
        <v>89</v>
      </c>
      <c r="E6">
        <v>88.9</v>
      </c>
      <c r="F6" t="s">
        <v>467</v>
      </c>
      <c r="G6" t="s">
        <v>744</v>
      </c>
      <c r="H6" t="e">
        <f>VLOOKUP(G6,Hoja1!B:C,2,0)</f>
        <v>#N/A</v>
      </c>
      <c r="J6" t="s">
        <v>468</v>
      </c>
      <c r="K6" t="s">
        <v>469</v>
      </c>
      <c r="L6" t="s">
        <v>470</v>
      </c>
      <c r="M6" t="s">
        <v>471</v>
      </c>
      <c r="N6" t="s">
        <v>433</v>
      </c>
      <c r="O6">
        <v>0.7</v>
      </c>
      <c r="P6" t="s">
        <v>40</v>
      </c>
      <c r="Q6" t="s">
        <v>472</v>
      </c>
      <c r="R6" t="s">
        <v>473</v>
      </c>
      <c r="S6" t="s">
        <v>474</v>
      </c>
      <c r="T6" t="s">
        <v>475</v>
      </c>
      <c r="U6" t="s">
        <v>49</v>
      </c>
      <c r="V6">
        <v>6.5</v>
      </c>
      <c r="W6">
        <v>18</v>
      </c>
      <c r="X6">
        <v>6.5</v>
      </c>
      <c r="Y6" t="s">
        <v>476</v>
      </c>
      <c r="Z6">
        <v>500</v>
      </c>
      <c r="AA6" t="s">
        <v>477</v>
      </c>
      <c r="AB6" t="s">
        <v>478</v>
      </c>
      <c r="AC6" t="s">
        <v>49</v>
      </c>
      <c r="AD6">
        <v>0.6</v>
      </c>
      <c r="AE6" t="s">
        <v>479</v>
      </c>
      <c r="AF6" t="s">
        <v>480</v>
      </c>
      <c r="AG6" t="s">
        <v>433</v>
      </c>
      <c r="AH6" t="s">
        <v>481</v>
      </c>
      <c r="AI6" t="s">
        <v>89</v>
      </c>
      <c r="AJ6" t="s">
        <v>482</v>
      </c>
      <c r="AK6" t="s">
        <v>753</v>
      </c>
      <c r="AL6" t="s">
        <v>55</v>
      </c>
      <c r="AM6" t="s">
        <v>758</v>
      </c>
      <c r="AN6" t="s">
        <v>56</v>
      </c>
      <c r="AO6">
        <v>1754</v>
      </c>
      <c r="AP6" t="s">
        <v>483</v>
      </c>
    </row>
    <row r="7" spans="1:42" x14ac:dyDescent="0.3">
      <c r="A7" t="s">
        <v>235</v>
      </c>
      <c r="B7">
        <f>VLOOKUP(A7,Hoja1!B:C,2,0)</f>
        <v>6</v>
      </c>
      <c r="C7" t="s">
        <v>701</v>
      </c>
      <c r="D7">
        <f t="shared" si="1"/>
        <v>82</v>
      </c>
      <c r="E7">
        <v>396.42</v>
      </c>
      <c r="F7" t="s">
        <v>236</v>
      </c>
      <c r="G7" t="s">
        <v>734</v>
      </c>
      <c r="H7" t="e">
        <f>VLOOKUP(G7,Hoja1!B:C,2,0)</f>
        <v>#N/A</v>
      </c>
      <c r="J7" t="s">
        <v>237</v>
      </c>
      <c r="K7" t="s">
        <v>60</v>
      </c>
      <c r="L7" t="s">
        <v>238</v>
      </c>
      <c r="M7" t="s">
        <v>239</v>
      </c>
      <c r="N7" t="s">
        <v>175</v>
      </c>
      <c r="O7">
        <v>0.25</v>
      </c>
      <c r="P7" t="s">
        <v>40</v>
      </c>
      <c r="Q7" t="s">
        <v>240</v>
      </c>
      <c r="R7" t="s">
        <v>241</v>
      </c>
      <c r="S7" t="s">
        <v>242</v>
      </c>
      <c r="T7" t="s">
        <v>243</v>
      </c>
      <c r="V7">
        <v>5</v>
      </c>
      <c r="W7">
        <v>10</v>
      </c>
      <c r="X7">
        <v>5</v>
      </c>
      <c r="Y7" t="s">
        <v>244</v>
      </c>
      <c r="Z7">
        <v>100</v>
      </c>
      <c r="AA7" t="s">
        <v>245</v>
      </c>
      <c r="AB7" t="s">
        <v>246</v>
      </c>
      <c r="AD7">
        <v>0.2</v>
      </c>
      <c r="AE7" t="s">
        <v>247</v>
      </c>
      <c r="AF7" t="s">
        <v>248</v>
      </c>
      <c r="AH7" t="s">
        <v>249</v>
      </c>
      <c r="AJ7" t="s">
        <v>136</v>
      </c>
      <c r="AK7" t="s">
        <v>751</v>
      </c>
      <c r="AL7" t="s">
        <v>55</v>
      </c>
      <c r="AM7" t="s">
        <v>758</v>
      </c>
      <c r="AN7" t="s">
        <v>75</v>
      </c>
      <c r="AO7">
        <v>2257</v>
      </c>
      <c r="AP7" t="s">
        <v>250</v>
      </c>
    </row>
    <row r="8" spans="1:42" x14ac:dyDescent="0.3">
      <c r="A8" t="s">
        <v>153</v>
      </c>
      <c r="B8">
        <f>VLOOKUP(A8,Hoja1!B:C,2,0)</f>
        <v>7</v>
      </c>
      <c r="C8" t="s">
        <v>722</v>
      </c>
      <c r="D8">
        <f t="shared" si="1"/>
        <v>95</v>
      </c>
      <c r="E8">
        <v>460.1</v>
      </c>
      <c r="F8" t="s">
        <v>154</v>
      </c>
      <c r="G8" t="s">
        <v>734</v>
      </c>
      <c r="H8" t="e">
        <f>VLOOKUP(G8,Hoja1!B:C,2,0)</f>
        <v>#N/A</v>
      </c>
      <c r="J8" t="s">
        <v>155</v>
      </c>
      <c r="K8" t="s">
        <v>92</v>
      </c>
      <c r="L8" t="s">
        <v>156</v>
      </c>
      <c r="M8" t="s">
        <v>157</v>
      </c>
      <c r="N8" t="s">
        <v>39</v>
      </c>
      <c r="O8">
        <v>0.25</v>
      </c>
      <c r="P8" t="s">
        <v>40</v>
      </c>
      <c r="Q8" t="s">
        <v>158</v>
      </c>
      <c r="R8" t="s">
        <v>159</v>
      </c>
      <c r="S8" t="s">
        <v>160</v>
      </c>
      <c r="T8" t="s">
        <v>161</v>
      </c>
      <c r="U8" t="s">
        <v>49</v>
      </c>
      <c r="V8">
        <v>6</v>
      </c>
      <c r="W8">
        <v>15</v>
      </c>
      <c r="X8">
        <v>12</v>
      </c>
      <c r="Y8" t="s">
        <v>162</v>
      </c>
      <c r="Z8">
        <v>60</v>
      </c>
      <c r="AA8" t="s">
        <v>163</v>
      </c>
      <c r="AB8" t="s">
        <v>164</v>
      </c>
      <c r="AC8" t="s">
        <v>49</v>
      </c>
      <c r="AD8">
        <v>0.2</v>
      </c>
      <c r="AE8" t="s">
        <v>165</v>
      </c>
      <c r="AF8" t="s">
        <v>166</v>
      </c>
      <c r="AG8" t="s">
        <v>167</v>
      </c>
      <c r="AH8" t="s">
        <v>168</v>
      </c>
      <c r="AI8" t="s">
        <v>45</v>
      </c>
      <c r="AJ8" t="s">
        <v>136</v>
      </c>
      <c r="AK8" t="s">
        <v>751</v>
      </c>
      <c r="AL8" t="s">
        <v>55</v>
      </c>
      <c r="AM8" t="s">
        <v>758</v>
      </c>
      <c r="AN8" t="s">
        <v>75</v>
      </c>
      <c r="AO8">
        <v>2257</v>
      </c>
      <c r="AP8" t="s">
        <v>169</v>
      </c>
    </row>
    <row r="9" spans="1:42" x14ac:dyDescent="0.3">
      <c r="A9" t="s">
        <v>346</v>
      </c>
      <c r="B9">
        <f>VLOOKUP(A9,Hoja1!B:C,2,0)</f>
        <v>8</v>
      </c>
      <c r="C9" t="s">
        <v>708</v>
      </c>
      <c r="D9">
        <f t="shared" si="1"/>
        <v>83</v>
      </c>
      <c r="E9">
        <v>296</v>
      </c>
      <c r="F9" t="s">
        <v>347</v>
      </c>
      <c r="G9" t="s">
        <v>738</v>
      </c>
      <c r="H9" t="e">
        <f>VLOOKUP(G9,Hoja1!B:C,2,0)</f>
        <v>#N/A</v>
      </c>
      <c r="J9" t="s">
        <v>348</v>
      </c>
      <c r="K9" t="s">
        <v>60</v>
      </c>
      <c r="L9" t="s">
        <v>349</v>
      </c>
      <c r="M9" t="s">
        <v>350</v>
      </c>
      <c r="N9" t="s">
        <v>319</v>
      </c>
      <c r="O9">
        <v>0.08</v>
      </c>
      <c r="P9" t="s">
        <v>40</v>
      </c>
      <c r="Q9" t="s">
        <v>351</v>
      </c>
      <c r="R9" t="s">
        <v>352</v>
      </c>
      <c r="S9" t="s">
        <v>353</v>
      </c>
      <c r="T9" t="s">
        <v>354</v>
      </c>
      <c r="V9">
        <v>3</v>
      </c>
      <c r="W9">
        <v>3</v>
      </c>
      <c r="X9">
        <v>10</v>
      </c>
      <c r="Y9" t="s">
        <v>355</v>
      </c>
      <c r="Z9">
        <v>30</v>
      </c>
      <c r="AA9" t="s">
        <v>356</v>
      </c>
      <c r="AB9" t="s">
        <v>357</v>
      </c>
      <c r="AD9">
        <v>0.05</v>
      </c>
      <c r="AE9" t="s">
        <v>358</v>
      </c>
      <c r="AF9" t="s">
        <v>359</v>
      </c>
      <c r="AH9" t="s">
        <v>360</v>
      </c>
      <c r="AJ9" t="s">
        <v>136</v>
      </c>
      <c r="AK9" t="s">
        <v>751</v>
      </c>
      <c r="AL9" t="s">
        <v>55</v>
      </c>
      <c r="AM9" t="s">
        <v>758</v>
      </c>
      <c r="AN9" t="s">
        <v>75</v>
      </c>
      <c r="AO9">
        <v>2257</v>
      </c>
      <c r="AP9" t="s">
        <v>361</v>
      </c>
    </row>
    <row r="10" spans="1:42" x14ac:dyDescent="0.3">
      <c r="A10" t="s">
        <v>216</v>
      </c>
      <c r="B10">
        <f>VLOOKUP(A10,Hoja1!B:C,2,0)</f>
        <v>9</v>
      </c>
      <c r="C10" t="s">
        <v>700</v>
      </c>
      <c r="D10">
        <f t="shared" si="1"/>
        <v>71</v>
      </c>
      <c r="E10">
        <v>125.23</v>
      </c>
      <c r="F10" t="s">
        <v>217</v>
      </c>
      <c r="G10" t="s">
        <v>732</v>
      </c>
      <c r="H10" t="e">
        <f>VLOOKUP(G10,Hoja1!B:C,2,0)</f>
        <v>#N/A</v>
      </c>
      <c r="J10" t="s">
        <v>218</v>
      </c>
      <c r="K10" t="s">
        <v>60</v>
      </c>
      <c r="L10" t="s">
        <v>219</v>
      </c>
      <c r="M10" t="s">
        <v>220</v>
      </c>
      <c r="N10" t="s">
        <v>175</v>
      </c>
      <c r="O10">
        <v>0.15</v>
      </c>
      <c r="P10" t="s">
        <v>40</v>
      </c>
      <c r="Q10" t="s">
        <v>221</v>
      </c>
      <c r="R10" t="s">
        <v>222</v>
      </c>
      <c r="S10" t="s">
        <v>223</v>
      </c>
      <c r="T10" t="s">
        <v>224</v>
      </c>
      <c r="V10">
        <v>4</v>
      </c>
      <c r="W10">
        <v>12</v>
      </c>
      <c r="X10">
        <v>4</v>
      </c>
      <c r="Y10" t="s">
        <v>225</v>
      </c>
      <c r="Z10">
        <v>80</v>
      </c>
      <c r="AA10" t="s">
        <v>226</v>
      </c>
      <c r="AB10" t="s">
        <v>227</v>
      </c>
      <c r="AC10" t="s">
        <v>228</v>
      </c>
      <c r="AD10">
        <v>0.08</v>
      </c>
      <c r="AE10" t="s">
        <v>229</v>
      </c>
      <c r="AF10" t="s">
        <v>230</v>
      </c>
      <c r="AH10" t="s">
        <v>231</v>
      </c>
      <c r="AJ10" t="s">
        <v>136</v>
      </c>
      <c r="AK10" t="s">
        <v>751</v>
      </c>
      <c r="AL10" t="s">
        <v>232</v>
      </c>
      <c r="AM10" t="s">
        <v>760</v>
      </c>
      <c r="AN10" t="s">
        <v>233</v>
      </c>
      <c r="AO10">
        <v>492</v>
      </c>
      <c r="AP10" t="s">
        <v>234</v>
      </c>
    </row>
    <row r="11" spans="1:42" x14ac:dyDescent="0.3">
      <c r="A11" t="s">
        <v>170</v>
      </c>
      <c r="B11">
        <f>VLOOKUP(A11,Hoja1!B:C,2,0)</f>
        <v>10</v>
      </c>
      <c r="C11" t="s">
        <v>697</v>
      </c>
      <c r="D11">
        <f t="shared" si="1"/>
        <v>78</v>
      </c>
      <c r="E11">
        <v>200.8</v>
      </c>
      <c r="F11" t="s">
        <v>171</v>
      </c>
      <c r="G11" t="s">
        <v>732</v>
      </c>
      <c r="H11" t="e">
        <f>VLOOKUP(G11,Hoja1!B:C,2,0)</f>
        <v>#N/A</v>
      </c>
      <c r="J11" t="s">
        <v>172</v>
      </c>
      <c r="K11" t="s">
        <v>60</v>
      </c>
      <c r="L11" t="s">
        <v>173</v>
      </c>
      <c r="M11" t="s">
        <v>174</v>
      </c>
      <c r="N11" t="s">
        <v>175</v>
      </c>
      <c r="O11">
        <v>0.65</v>
      </c>
      <c r="P11" t="s">
        <v>40</v>
      </c>
      <c r="R11" t="s">
        <v>176</v>
      </c>
      <c r="S11" t="s">
        <v>177</v>
      </c>
      <c r="T11" t="s">
        <v>178</v>
      </c>
      <c r="V11">
        <v>8</v>
      </c>
      <c r="W11">
        <v>20</v>
      </c>
      <c r="X11">
        <v>12</v>
      </c>
      <c r="Y11" t="s">
        <v>179</v>
      </c>
      <c r="Z11">
        <v>500</v>
      </c>
      <c r="AA11" t="s">
        <v>180</v>
      </c>
      <c r="AB11" t="s">
        <v>181</v>
      </c>
      <c r="AD11">
        <v>0.5</v>
      </c>
      <c r="AE11" t="s">
        <v>182</v>
      </c>
      <c r="AF11" t="s">
        <v>183</v>
      </c>
      <c r="AH11" t="s">
        <v>184</v>
      </c>
      <c r="AJ11" t="s">
        <v>136</v>
      </c>
      <c r="AK11" t="s">
        <v>751</v>
      </c>
      <c r="AL11" t="s">
        <v>55</v>
      </c>
      <c r="AM11" t="s">
        <v>758</v>
      </c>
      <c r="AN11" t="s">
        <v>56</v>
      </c>
      <c r="AO11">
        <v>1754</v>
      </c>
      <c r="AP11" t="s">
        <v>185</v>
      </c>
    </row>
    <row r="12" spans="1:42" x14ac:dyDescent="0.3">
      <c r="A12" t="s">
        <v>382</v>
      </c>
      <c r="B12">
        <f>VLOOKUP(A12,Hoja1!B:C,2,0)</f>
        <v>11</v>
      </c>
      <c r="C12" t="s">
        <v>710</v>
      </c>
      <c r="D12">
        <f t="shared" si="1"/>
        <v>66</v>
      </c>
      <c r="E12">
        <v>420</v>
      </c>
      <c r="F12" t="s">
        <v>383</v>
      </c>
      <c r="G12" t="s">
        <v>734</v>
      </c>
      <c r="H12" t="e">
        <f>VLOOKUP(G12,Hoja1!B:C,2,0)</f>
        <v>#N/A</v>
      </c>
      <c r="J12" t="s">
        <v>384</v>
      </c>
      <c r="K12" t="s">
        <v>254</v>
      </c>
      <c r="L12" t="s">
        <v>385</v>
      </c>
      <c r="M12" t="s">
        <v>386</v>
      </c>
      <c r="N12" t="s">
        <v>319</v>
      </c>
      <c r="O12">
        <v>0.3</v>
      </c>
      <c r="P12" t="s">
        <v>40</v>
      </c>
      <c r="Q12" t="s">
        <v>387</v>
      </c>
      <c r="R12" t="s">
        <v>388</v>
      </c>
      <c r="S12" t="s">
        <v>389</v>
      </c>
      <c r="T12" t="s">
        <v>260</v>
      </c>
      <c r="V12">
        <v>5</v>
      </c>
      <c r="W12">
        <v>5</v>
      </c>
      <c r="X12">
        <v>10</v>
      </c>
      <c r="Y12" t="s">
        <v>390</v>
      </c>
      <c r="Z12">
        <v>100</v>
      </c>
      <c r="AA12" t="s">
        <v>391</v>
      </c>
      <c r="AB12" t="s">
        <v>392</v>
      </c>
      <c r="AD12">
        <v>0.25</v>
      </c>
      <c r="AE12" t="s">
        <v>393</v>
      </c>
      <c r="AF12" t="s">
        <v>394</v>
      </c>
      <c r="AH12" t="s">
        <v>395</v>
      </c>
      <c r="AJ12" t="s">
        <v>136</v>
      </c>
      <c r="AK12" t="s">
        <v>751</v>
      </c>
      <c r="AL12" t="s">
        <v>55</v>
      </c>
      <c r="AM12" t="s">
        <v>758</v>
      </c>
      <c r="AN12" t="s">
        <v>75</v>
      </c>
      <c r="AO12">
        <v>2257</v>
      </c>
      <c r="AP12" t="s">
        <v>396</v>
      </c>
    </row>
    <row r="13" spans="1:42" x14ac:dyDescent="0.3">
      <c r="A13" t="s">
        <v>33</v>
      </c>
      <c r="B13">
        <f>VLOOKUP(A13,Hoja1!B:C,2,0)</f>
        <v>12</v>
      </c>
      <c r="C13" t="s">
        <v>721</v>
      </c>
      <c r="D13">
        <f t="shared" si="1"/>
        <v>74</v>
      </c>
      <c r="E13">
        <v>219.5</v>
      </c>
      <c r="F13" t="s">
        <v>34</v>
      </c>
      <c r="G13" t="s">
        <v>732</v>
      </c>
      <c r="H13" t="e">
        <f>VLOOKUP(G13,Hoja1!B:C,2,0)</f>
        <v>#N/A</v>
      </c>
      <c r="J13" t="s">
        <v>35</v>
      </c>
      <c r="K13" t="s">
        <v>36</v>
      </c>
      <c r="L13" t="s">
        <v>37</v>
      </c>
      <c r="M13" t="s">
        <v>38</v>
      </c>
      <c r="N13" t="s">
        <v>39</v>
      </c>
      <c r="O13">
        <v>0.45</v>
      </c>
      <c r="P13" t="s">
        <v>40</v>
      </c>
      <c r="Q13" t="s">
        <v>41</v>
      </c>
      <c r="R13" t="s">
        <v>42</v>
      </c>
      <c r="S13" t="s">
        <v>43</v>
      </c>
      <c r="T13" t="s">
        <v>44</v>
      </c>
      <c r="U13" t="s">
        <v>45</v>
      </c>
      <c r="V13">
        <v>8</v>
      </c>
      <c r="W13">
        <v>20</v>
      </c>
      <c r="X13">
        <v>12</v>
      </c>
      <c r="Y13" t="s">
        <v>46</v>
      </c>
      <c r="Z13">
        <v>350</v>
      </c>
      <c r="AA13" t="s">
        <v>47</v>
      </c>
      <c r="AB13" t="s">
        <v>48</v>
      </c>
      <c r="AC13" t="s">
        <v>49</v>
      </c>
      <c r="AD13">
        <v>0.35</v>
      </c>
      <c r="AE13" t="s">
        <v>50</v>
      </c>
      <c r="AF13" t="s">
        <v>51</v>
      </c>
      <c r="AG13" t="s">
        <v>52</v>
      </c>
      <c r="AH13" t="s">
        <v>53</v>
      </c>
      <c r="AI13" t="s">
        <v>45</v>
      </c>
      <c r="AJ13" t="s">
        <v>54</v>
      </c>
      <c r="AK13" t="s">
        <v>752</v>
      </c>
      <c r="AL13" t="s">
        <v>55</v>
      </c>
      <c r="AM13" t="s">
        <v>758</v>
      </c>
      <c r="AN13" t="s">
        <v>56</v>
      </c>
      <c r="AO13">
        <v>1754</v>
      </c>
    </row>
    <row r="14" spans="1:42" x14ac:dyDescent="0.3">
      <c r="A14" t="s">
        <v>397</v>
      </c>
      <c r="B14">
        <f>VLOOKUP(A14,Hoja1!B:C,2,0)</f>
        <v>13</v>
      </c>
      <c r="C14" t="s">
        <v>711</v>
      </c>
      <c r="D14">
        <f t="shared" si="1"/>
        <v>85</v>
      </c>
      <c r="E14">
        <v>460</v>
      </c>
      <c r="F14" t="s">
        <v>398</v>
      </c>
      <c r="G14" t="s">
        <v>734</v>
      </c>
      <c r="H14" t="e">
        <f>VLOOKUP(G14,Hoja1!B:C,2,0)</f>
        <v>#N/A</v>
      </c>
      <c r="J14" t="s">
        <v>399</v>
      </c>
      <c r="K14" t="s">
        <v>60</v>
      </c>
      <c r="L14" t="s">
        <v>400</v>
      </c>
      <c r="M14" t="s">
        <v>401</v>
      </c>
      <c r="N14" t="s">
        <v>319</v>
      </c>
      <c r="O14">
        <v>0.25</v>
      </c>
      <c r="P14" t="s">
        <v>40</v>
      </c>
      <c r="Q14" t="s">
        <v>402</v>
      </c>
      <c r="R14" t="s">
        <v>403</v>
      </c>
      <c r="S14" t="s">
        <v>404</v>
      </c>
      <c r="T14" t="s">
        <v>224</v>
      </c>
      <c r="V14">
        <v>5</v>
      </c>
      <c r="W14">
        <v>15</v>
      </c>
      <c r="X14">
        <v>5</v>
      </c>
      <c r="Y14" t="s">
        <v>405</v>
      </c>
      <c r="Z14">
        <v>80</v>
      </c>
      <c r="AA14" t="s">
        <v>406</v>
      </c>
      <c r="AB14" t="s">
        <v>407</v>
      </c>
      <c r="AD14">
        <v>0.2</v>
      </c>
      <c r="AE14" t="s">
        <v>408</v>
      </c>
      <c r="AF14" t="s">
        <v>409</v>
      </c>
      <c r="AH14" t="s">
        <v>410</v>
      </c>
      <c r="AJ14" t="s">
        <v>136</v>
      </c>
      <c r="AK14" t="s">
        <v>751</v>
      </c>
      <c r="AL14" t="s">
        <v>55</v>
      </c>
      <c r="AM14" t="s">
        <v>758</v>
      </c>
      <c r="AN14" t="s">
        <v>75</v>
      </c>
      <c r="AO14">
        <v>2257</v>
      </c>
      <c r="AP14" t="s">
        <v>411</v>
      </c>
    </row>
    <row r="15" spans="1:42" x14ac:dyDescent="0.3">
      <c r="A15" t="s">
        <v>90</v>
      </c>
      <c r="B15">
        <f>VLOOKUP(A15,Hoja1!B:C,2,0)</f>
        <v>14</v>
      </c>
      <c r="C15" t="s">
        <v>692</v>
      </c>
      <c r="D15">
        <f t="shared" si="1"/>
        <v>94</v>
      </c>
      <c r="E15">
        <v>389.5</v>
      </c>
      <c r="F15" t="s">
        <v>58</v>
      </c>
      <c r="G15" t="s">
        <v>734</v>
      </c>
      <c r="H15" t="e">
        <f>VLOOKUP(G15,Hoja1!B:C,2,0)</f>
        <v>#N/A</v>
      </c>
      <c r="J15" t="s">
        <v>91</v>
      </c>
      <c r="K15" t="s">
        <v>92</v>
      </c>
      <c r="L15" t="s">
        <v>93</v>
      </c>
      <c r="M15" t="s">
        <v>94</v>
      </c>
      <c r="N15" t="s">
        <v>63</v>
      </c>
      <c r="O15">
        <v>0.25</v>
      </c>
      <c r="P15" t="s">
        <v>40</v>
      </c>
      <c r="Q15" t="s">
        <v>95</v>
      </c>
      <c r="R15" t="s">
        <v>96</v>
      </c>
      <c r="S15" t="s">
        <v>66</v>
      </c>
      <c r="T15" t="s">
        <v>97</v>
      </c>
      <c r="U15" t="s">
        <v>98</v>
      </c>
      <c r="V15">
        <v>8</v>
      </c>
      <c r="W15">
        <v>18</v>
      </c>
      <c r="X15">
        <v>5</v>
      </c>
      <c r="Y15" t="s">
        <v>99</v>
      </c>
      <c r="Z15">
        <v>70</v>
      </c>
      <c r="AA15" t="s">
        <v>100</v>
      </c>
      <c r="AB15" t="s">
        <v>101</v>
      </c>
      <c r="AC15" t="s">
        <v>49</v>
      </c>
      <c r="AD15">
        <v>0.2</v>
      </c>
      <c r="AE15" t="s">
        <v>102</v>
      </c>
      <c r="AF15" t="s">
        <v>103</v>
      </c>
      <c r="AG15" t="s">
        <v>52</v>
      </c>
      <c r="AH15" t="s">
        <v>104</v>
      </c>
      <c r="AI15" t="s">
        <v>45</v>
      </c>
      <c r="AJ15" t="s">
        <v>54</v>
      </c>
      <c r="AK15" t="s">
        <v>752</v>
      </c>
      <c r="AL15" t="s">
        <v>55</v>
      </c>
      <c r="AM15" t="s">
        <v>758</v>
      </c>
      <c r="AN15" t="s">
        <v>75</v>
      </c>
      <c r="AO15">
        <v>2257</v>
      </c>
    </row>
    <row r="16" spans="1:42" hidden="1" x14ac:dyDescent="0.3">
      <c r="A16" s="1" t="s">
        <v>268</v>
      </c>
      <c r="B16" s="1"/>
      <c r="C16" t="s">
        <v>703</v>
      </c>
      <c r="D16">
        <f t="shared" si="1"/>
        <v>78</v>
      </c>
      <c r="E16">
        <v>222.52</v>
      </c>
      <c r="F16" t="s">
        <v>269</v>
      </c>
      <c r="G16" t="s">
        <v>737</v>
      </c>
      <c r="H16" t="e">
        <f>VLOOKUP(G16,Hoja1!B:C,2,0)</f>
        <v>#N/A</v>
      </c>
      <c r="I16" t="s">
        <v>735</v>
      </c>
      <c r="J16" t="s">
        <v>270</v>
      </c>
      <c r="K16" t="s">
        <v>60</v>
      </c>
      <c r="L16" t="s">
        <v>271</v>
      </c>
      <c r="M16" t="s">
        <v>272</v>
      </c>
      <c r="N16" t="s">
        <v>175</v>
      </c>
      <c r="O16">
        <v>0.25</v>
      </c>
      <c r="P16" t="s">
        <v>40</v>
      </c>
      <c r="Q16" t="s">
        <v>273</v>
      </c>
      <c r="R16" t="s">
        <v>274</v>
      </c>
      <c r="S16" t="s">
        <v>275</v>
      </c>
      <c r="T16" t="s">
        <v>128</v>
      </c>
      <c r="V16">
        <v>4</v>
      </c>
      <c r="W16">
        <v>12</v>
      </c>
      <c r="X16">
        <v>4</v>
      </c>
      <c r="Y16" t="s">
        <v>276</v>
      </c>
      <c r="AA16" t="s">
        <v>277</v>
      </c>
      <c r="AB16" t="s">
        <v>278</v>
      </c>
      <c r="AD16">
        <v>0.1</v>
      </c>
      <c r="AE16" t="s">
        <v>279</v>
      </c>
      <c r="AF16" t="s">
        <v>280</v>
      </c>
      <c r="AH16" t="s">
        <v>281</v>
      </c>
      <c r="AJ16" t="s">
        <v>136</v>
      </c>
      <c r="AK16" t="s">
        <v>751</v>
      </c>
      <c r="AL16" t="s">
        <v>55</v>
      </c>
      <c r="AM16" t="s">
        <v>758</v>
      </c>
      <c r="AN16" t="s">
        <v>282</v>
      </c>
      <c r="AO16">
        <v>2945</v>
      </c>
      <c r="AP16" t="s">
        <v>283</v>
      </c>
    </row>
    <row r="17" spans="1:42" x14ac:dyDescent="0.3">
      <c r="A17" t="s">
        <v>599</v>
      </c>
      <c r="B17">
        <f>VLOOKUP(A17,Hoja1!B:C,2,0)</f>
        <v>15</v>
      </c>
      <c r="C17" t="s">
        <v>727</v>
      </c>
      <c r="D17">
        <f t="shared" si="1"/>
        <v>78</v>
      </c>
      <c r="E17">
        <v>209</v>
      </c>
      <c r="F17" t="s">
        <v>600</v>
      </c>
      <c r="G17" t="s">
        <v>747</v>
      </c>
      <c r="H17" t="e">
        <f>VLOOKUP(G17,Hoja1!B:C,2,0)</f>
        <v>#N/A</v>
      </c>
      <c r="J17" t="s">
        <v>601</v>
      </c>
      <c r="K17" t="s">
        <v>602</v>
      </c>
      <c r="L17" t="s">
        <v>603</v>
      </c>
      <c r="M17" t="s">
        <v>604</v>
      </c>
      <c r="N17" t="s">
        <v>588</v>
      </c>
      <c r="O17">
        <v>0.3</v>
      </c>
      <c r="P17" t="s">
        <v>40</v>
      </c>
      <c r="Q17" t="s">
        <v>605</v>
      </c>
      <c r="R17" t="s">
        <v>606</v>
      </c>
      <c r="S17" t="s">
        <v>607</v>
      </c>
      <c r="T17" t="s">
        <v>128</v>
      </c>
      <c r="U17" t="s">
        <v>228</v>
      </c>
      <c r="V17">
        <v>6</v>
      </c>
      <c r="W17">
        <v>15</v>
      </c>
      <c r="X17">
        <v>6</v>
      </c>
      <c r="Y17" t="s">
        <v>608</v>
      </c>
      <c r="AA17" t="s">
        <v>609</v>
      </c>
      <c r="AB17" t="s">
        <v>610</v>
      </c>
      <c r="AC17" t="s">
        <v>228</v>
      </c>
      <c r="AD17">
        <v>0.12</v>
      </c>
      <c r="AE17" t="s">
        <v>611</v>
      </c>
      <c r="AF17" t="s">
        <v>612</v>
      </c>
      <c r="AG17" t="s">
        <v>588</v>
      </c>
      <c r="AH17" t="s">
        <v>613</v>
      </c>
      <c r="AJ17" t="s">
        <v>136</v>
      </c>
      <c r="AK17" t="s">
        <v>751</v>
      </c>
      <c r="AL17" t="s">
        <v>55</v>
      </c>
      <c r="AM17" t="s">
        <v>758</v>
      </c>
      <c r="AN17" t="s">
        <v>75</v>
      </c>
      <c r="AO17">
        <v>2257</v>
      </c>
      <c r="AP17" t="s">
        <v>614</v>
      </c>
    </row>
    <row r="18" spans="1:42" x14ac:dyDescent="0.3">
      <c r="A18" t="s">
        <v>427</v>
      </c>
      <c r="B18">
        <f>VLOOKUP(A18,Hoja1!B:C,2,0)</f>
        <v>16</v>
      </c>
      <c r="C18" t="s">
        <v>713</v>
      </c>
      <c r="D18">
        <f t="shared" si="1"/>
        <v>98</v>
      </c>
      <c r="E18">
        <v>179.9</v>
      </c>
      <c r="F18" t="s">
        <v>428</v>
      </c>
      <c r="G18" t="s">
        <v>741</v>
      </c>
      <c r="H18" t="e">
        <f>VLOOKUP(G18,Hoja1!B:C,2,0)</f>
        <v>#N/A</v>
      </c>
      <c r="J18" t="s">
        <v>429</v>
      </c>
      <c r="K18" t="s">
        <v>430</v>
      </c>
      <c r="L18" t="s">
        <v>431</v>
      </c>
      <c r="M18" t="s">
        <v>432</v>
      </c>
      <c r="N18" t="s">
        <v>433</v>
      </c>
      <c r="O18">
        <v>2.2000000000000002</v>
      </c>
      <c r="P18" t="s">
        <v>40</v>
      </c>
      <c r="Q18" t="s">
        <v>434</v>
      </c>
      <c r="R18" t="s">
        <v>435</v>
      </c>
      <c r="S18" t="s">
        <v>436</v>
      </c>
      <c r="T18" t="s">
        <v>437</v>
      </c>
      <c r="U18" t="s">
        <v>45</v>
      </c>
      <c r="V18">
        <v>10</v>
      </c>
      <c r="W18">
        <v>20</v>
      </c>
      <c r="X18">
        <v>10</v>
      </c>
      <c r="Y18" t="s">
        <v>438</v>
      </c>
      <c r="Z18">
        <v>2000</v>
      </c>
      <c r="AA18" t="s">
        <v>439</v>
      </c>
      <c r="AB18" t="s">
        <v>440</v>
      </c>
      <c r="AC18" t="s">
        <v>45</v>
      </c>
      <c r="AD18">
        <v>2</v>
      </c>
      <c r="AE18" t="s">
        <v>441</v>
      </c>
      <c r="AF18" t="s">
        <v>442</v>
      </c>
      <c r="AG18" t="s">
        <v>433</v>
      </c>
      <c r="AH18" t="s">
        <v>443</v>
      </c>
      <c r="AI18" t="s">
        <v>444</v>
      </c>
      <c r="AJ18" t="s">
        <v>445</v>
      </c>
      <c r="AK18" t="s">
        <v>750</v>
      </c>
      <c r="AL18" t="s">
        <v>446</v>
      </c>
      <c r="AM18" t="s">
        <v>756</v>
      </c>
      <c r="AN18" t="s">
        <v>380</v>
      </c>
      <c r="AO18">
        <v>3190</v>
      </c>
      <c r="AP18" t="s">
        <v>447</v>
      </c>
    </row>
    <row r="19" spans="1:42" x14ac:dyDescent="0.3">
      <c r="A19" t="s">
        <v>120</v>
      </c>
      <c r="B19">
        <f>VLOOKUP(A19,Hoja1!B:C,2,0)</f>
        <v>17</v>
      </c>
      <c r="C19" t="s">
        <v>696</v>
      </c>
      <c r="D19">
        <f t="shared" si="1"/>
        <v>50</v>
      </c>
      <c r="E19">
        <v>216.9</v>
      </c>
      <c r="F19" t="s">
        <v>121</v>
      </c>
      <c r="G19" t="s">
        <v>734</v>
      </c>
      <c r="H19" t="e">
        <f>VLOOKUP(G19,Hoja1!B:C,2,0)</f>
        <v>#N/A</v>
      </c>
      <c r="J19" t="s">
        <v>122</v>
      </c>
      <c r="K19" t="s">
        <v>60</v>
      </c>
      <c r="L19" t="s">
        <v>123</v>
      </c>
      <c r="M19" t="s">
        <v>124</v>
      </c>
      <c r="N19" t="s">
        <v>39</v>
      </c>
      <c r="O19">
        <v>0.3</v>
      </c>
      <c r="P19" t="s">
        <v>40</v>
      </c>
      <c r="Q19" t="s">
        <v>125</v>
      </c>
      <c r="R19" t="s">
        <v>126</v>
      </c>
      <c r="S19" t="s">
        <v>127</v>
      </c>
      <c r="T19" t="s">
        <v>128</v>
      </c>
      <c r="U19" t="s">
        <v>49</v>
      </c>
      <c r="V19">
        <v>5</v>
      </c>
      <c r="W19">
        <v>15</v>
      </c>
      <c r="X19">
        <v>5</v>
      </c>
      <c r="Y19" t="s">
        <v>129</v>
      </c>
      <c r="AA19" t="s">
        <v>130</v>
      </c>
      <c r="AB19" t="s">
        <v>131</v>
      </c>
      <c r="AC19" t="s">
        <v>49</v>
      </c>
      <c r="AD19">
        <v>0.25</v>
      </c>
      <c r="AE19" t="s">
        <v>132</v>
      </c>
      <c r="AF19" t="s">
        <v>133</v>
      </c>
      <c r="AG19" t="s">
        <v>134</v>
      </c>
      <c r="AH19" t="s">
        <v>135</v>
      </c>
      <c r="AI19" t="s">
        <v>89</v>
      </c>
      <c r="AJ19" t="s">
        <v>136</v>
      </c>
      <c r="AK19" t="s">
        <v>751</v>
      </c>
      <c r="AL19" t="s">
        <v>55</v>
      </c>
      <c r="AM19" t="s">
        <v>758</v>
      </c>
      <c r="AN19" t="s">
        <v>75</v>
      </c>
      <c r="AO19">
        <v>2257</v>
      </c>
      <c r="AP19" t="s">
        <v>137</v>
      </c>
    </row>
    <row r="20" spans="1:42" hidden="1" x14ac:dyDescent="0.3">
      <c r="A20" s="2" t="s">
        <v>331</v>
      </c>
      <c r="B20" s="2"/>
      <c r="C20" t="s">
        <v>707</v>
      </c>
      <c r="D20">
        <f t="shared" si="1"/>
        <v>81</v>
      </c>
      <c r="E20">
        <v>148</v>
      </c>
      <c r="F20" t="s">
        <v>332</v>
      </c>
      <c r="G20" t="s">
        <v>737</v>
      </c>
      <c r="H20" t="e">
        <f>VLOOKUP(G20,Hoja1!B:C,2,0)</f>
        <v>#N/A</v>
      </c>
      <c r="I20" t="s">
        <v>739</v>
      </c>
      <c r="J20" t="s">
        <v>333</v>
      </c>
      <c r="K20" t="s">
        <v>60</v>
      </c>
      <c r="L20" t="s">
        <v>334</v>
      </c>
      <c r="M20" t="s">
        <v>335</v>
      </c>
      <c r="N20" t="s">
        <v>319</v>
      </c>
      <c r="O20">
        <v>0.1</v>
      </c>
      <c r="P20" t="s">
        <v>40</v>
      </c>
      <c r="Q20" t="s">
        <v>336</v>
      </c>
      <c r="R20" t="s">
        <v>337</v>
      </c>
      <c r="S20" t="s">
        <v>322</v>
      </c>
      <c r="T20" t="s">
        <v>338</v>
      </c>
      <c r="V20">
        <v>3</v>
      </c>
      <c r="W20">
        <v>3</v>
      </c>
      <c r="X20">
        <v>8</v>
      </c>
      <c r="Y20" t="s">
        <v>339</v>
      </c>
      <c r="Z20">
        <v>30</v>
      </c>
      <c r="AA20" t="s">
        <v>340</v>
      </c>
      <c r="AB20" t="s">
        <v>341</v>
      </c>
      <c r="AD20">
        <v>0.05</v>
      </c>
      <c r="AE20" t="s">
        <v>342</v>
      </c>
      <c r="AF20" t="s">
        <v>343</v>
      </c>
      <c r="AH20" t="s">
        <v>344</v>
      </c>
      <c r="AJ20" t="s">
        <v>136</v>
      </c>
      <c r="AK20" t="s">
        <v>751</v>
      </c>
      <c r="AL20" t="s">
        <v>55</v>
      </c>
      <c r="AM20" t="s">
        <v>758</v>
      </c>
      <c r="AN20" t="s">
        <v>282</v>
      </c>
      <c r="AO20">
        <v>2945</v>
      </c>
      <c r="AP20" t="s">
        <v>345</v>
      </c>
    </row>
    <row r="21" spans="1:42" x14ac:dyDescent="0.3">
      <c r="A21" t="s">
        <v>314</v>
      </c>
      <c r="B21">
        <f>VLOOKUP(A21,Hoja1!B:C,2,0)</f>
        <v>18</v>
      </c>
      <c r="C21" t="s">
        <v>706</v>
      </c>
      <c r="D21">
        <f t="shared" si="1"/>
        <v>75</v>
      </c>
      <c r="E21">
        <v>148</v>
      </c>
      <c r="F21" t="s">
        <v>315</v>
      </c>
      <c r="G21" t="s">
        <v>738</v>
      </c>
      <c r="H21" t="e">
        <f>VLOOKUP(G21,Hoja1!B:C,2,0)</f>
        <v>#N/A</v>
      </c>
      <c r="J21" t="s">
        <v>316</v>
      </c>
      <c r="K21" t="s">
        <v>60</v>
      </c>
      <c r="L21" t="s">
        <v>317</v>
      </c>
      <c r="M21" t="s">
        <v>318</v>
      </c>
      <c r="N21" t="s">
        <v>319</v>
      </c>
      <c r="O21">
        <v>0.08</v>
      </c>
      <c r="P21" t="s">
        <v>109</v>
      </c>
      <c r="Q21" t="s">
        <v>320</v>
      </c>
      <c r="R21" t="s">
        <v>321</v>
      </c>
      <c r="S21" t="s">
        <v>322</v>
      </c>
      <c r="T21" t="s">
        <v>323</v>
      </c>
      <c r="V21">
        <v>3</v>
      </c>
      <c r="W21">
        <v>3</v>
      </c>
      <c r="X21">
        <v>8</v>
      </c>
      <c r="Y21" t="s">
        <v>324</v>
      </c>
      <c r="Z21">
        <v>30</v>
      </c>
      <c r="AA21" t="s">
        <v>325</v>
      </c>
      <c r="AB21" t="s">
        <v>326</v>
      </c>
      <c r="AD21">
        <v>0.03</v>
      </c>
      <c r="AE21" t="s">
        <v>327</v>
      </c>
      <c r="AF21" t="s">
        <v>328</v>
      </c>
      <c r="AH21" t="s">
        <v>329</v>
      </c>
      <c r="AJ21" t="s">
        <v>136</v>
      </c>
      <c r="AK21" t="s">
        <v>751</v>
      </c>
      <c r="AL21" t="s">
        <v>55</v>
      </c>
      <c r="AM21" t="s">
        <v>758</v>
      </c>
      <c r="AN21" t="s">
        <v>282</v>
      </c>
      <c r="AO21">
        <v>2945</v>
      </c>
      <c r="AP21" t="s">
        <v>330</v>
      </c>
    </row>
    <row r="22" spans="1:42" hidden="1" x14ac:dyDescent="0.3">
      <c r="A22" s="2" t="s">
        <v>362</v>
      </c>
      <c r="B22" s="2"/>
      <c r="C22" t="s">
        <v>709</v>
      </c>
      <c r="D22">
        <f t="shared" si="1"/>
        <v>95</v>
      </c>
      <c r="E22">
        <v>125</v>
      </c>
      <c r="F22" t="s">
        <v>363</v>
      </c>
      <c r="G22" t="s">
        <v>740</v>
      </c>
      <c r="H22" t="e">
        <f>VLOOKUP(G22,Hoja1!B:C,2,0)</f>
        <v>#N/A</v>
      </c>
      <c r="I22" t="s">
        <v>733</v>
      </c>
      <c r="J22" t="s">
        <v>364</v>
      </c>
      <c r="K22" t="s">
        <v>365</v>
      </c>
      <c r="L22" t="s">
        <v>366</v>
      </c>
      <c r="M22" t="s">
        <v>367</v>
      </c>
      <c r="N22" t="s">
        <v>319</v>
      </c>
      <c r="O22">
        <v>0.6</v>
      </c>
      <c r="P22" t="s">
        <v>40</v>
      </c>
      <c r="Q22" t="s">
        <v>368</v>
      </c>
      <c r="R22" t="s">
        <v>369</v>
      </c>
      <c r="S22" t="s">
        <v>370</v>
      </c>
      <c r="T22" t="s">
        <v>371</v>
      </c>
      <c r="V22">
        <v>6</v>
      </c>
      <c r="W22">
        <v>18</v>
      </c>
      <c r="X22">
        <v>6</v>
      </c>
      <c r="Y22" t="s">
        <v>372</v>
      </c>
      <c r="Z22">
        <v>400</v>
      </c>
      <c r="AA22" t="s">
        <v>373</v>
      </c>
      <c r="AB22" t="s">
        <v>374</v>
      </c>
      <c r="AD22">
        <v>0.5</v>
      </c>
      <c r="AE22" t="s">
        <v>375</v>
      </c>
      <c r="AF22" t="s">
        <v>376</v>
      </c>
      <c r="AH22" t="s">
        <v>377</v>
      </c>
      <c r="AJ22" t="s">
        <v>378</v>
      </c>
      <c r="AK22" t="s">
        <v>755</v>
      </c>
      <c r="AL22" t="s">
        <v>379</v>
      </c>
      <c r="AM22" t="s">
        <v>757</v>
      </c>
      <c r="AN22" t="s">
        <v>380</v>
      </c>
      <c r="AO22">
        <v>3190</v>
      </c>
      <c r="AP22" t="s">
        <v>381</v>
      </c>
    </row>
    <row r="23" spans="1:42" x14ac:dyDescent="0.3">
      <c r="A23" t="s">
        <v>412</v>
      </c>
      <c r="B23">
        <f>VLOOKUP(A23,Hoja1!B:C,2,0)</f>
        <v>19</v>
      </c>
      <c r="C23" t="s">
        <v>712</v>
      </c>
      <c r="D23">
        <f t="shared" si="1"/>
        <v>89</v>
      </c>
      <c r="E23">
        <v>880</v>
      </c>
      <c r="F23" t="s">
        <v>383</v>
      </c>
      <c r="G23" t="s">
        <v>734</v>
      </c>
      <c r="H23" t="e">
        <f>VLOOKUP(G23,Hoja1!B:C,2,0)</f>
        <v>#N/A</v>
      </c>
      <c r="J23" t="s">
        <v>413</v>
      </c>
      <c r="K23" t="s">
        <v>254</v>
      </c>
      <c r="L23" t="s">
        <v>414</v>
      </c>
      <c r="M23" t="s">
        <v>415</v>
      </c>
      <c r="N23" t="s">
        <v>319</v>
      </c>
      <c r="O23">
        <v>0.25</v>
      </c>
      <c r="P23" t="s">
        <v>109</v>
      </c>
      <c r="Q23" t="s">
        <v>416</v>
      </c>
      <c r="R23" t="s">
        <v>417</v>
      </c>
      <c r="S23" t="s">
        <v>418</v>
      </c>
      <c r="T23" t="s">
        <v>419</v>
      </c>
      <c r="V23">
        <v>12</v>
      </c>
      <c r="W23">
        <v>8</v>
      </c>
      <c r="X23">
        <v>5</v>
      </c>
      <c r="Y23" t="s">
        <v>420</v>
      </c>
      <c r="Z23">
        <v>90</v>
      </c>
      <c r="AA23" t="s">
        <v>421</v>
      </c>
      <c r="AB23" t="s">
        <v>422</v>
      </c>
      <c r="AD23">
        <v>0.2</v>
      </c>
      <c r="AE23" t="s">
        <v>423</v>
      </c>
      <c r="AF23" t="s">
        <v>424</v>
      </c>
      <c r="AH23" t="s">
        <v>425</v>
      </c>
      <c r="AJ23" t="s">
        <v>136</v>
      </c>
      <c r="AK23" t="s">
        <v>751</v>
      </c>
      <c r="AL23" t="s">
        <v>55</v>
      </c>
      <c r="AM23" t="s">
        <v>758</v>
      </c>
      <c r="AN23" t="s">
        <v>75</v>
      </c>
      <c r="AO23">
        <v>2257</v>
      </c>
      <c r="AP23" t="s">
        <v>426</v>
      </c>
    </row>
    <row r="24" spans="1:42" x14ac:dyDescent="0.3">
      <c r="A24" t="s">
        <v>76</v>
      </c>
      <c r="B24">
        <f>VLOOKUP(A24,Hoja1!B:C,2,0)</f>
        <v>20</v>
      </c>
      <c r="C24" t="s">
        <v>693</v>
      </c>
      <c r="D24">
        <f t="shared" si="1"/>
        <v>90</v>
      </c>
      <c r="E24">
        <v>394.1</v>
      </c>
      <c r="F24" t="s">
        <v>58</v>
      </c>
      <c r="G24" t="s">
        <v>734</v>
      </c>
      <c r="H24" t="e">
        <f>VLOOKUP(G24,Hoja1!B:C,2,0)</f>
        <v>#N/A</v>
      </c>
      <c r="J24" t="s">
        <v>77</v>
      </c>
      <c r="K24" t="s">
        <v>78</v>
      </c>
      <c r="L24" t="s">
        <v>79</v>
      </c>
      <c r="M24" t="s">
        <v>80</v>
      </c>
      <c r="N24" t="s">
        <v>39</v>
      </c>
      <c r="O24">
        <v>0.25</v>
      </c>
      <c r="P24" t="s">
        <v>40</v>
      </c>
      <c r="Q24" t="s">
        <v>81</v>
      </c>
      <c r="R24" t="s">
        <v>82</v>
      </c>
      <c r="S24" t="s">
        <v>66</v>
      </c>
      <c r="T24" t="s">
        <v>67</v>
      </c>
      <c r="V24">
        <v>12</v>
      </c>
      <c r="W24">
        <v>6</v>
      </c>
      <c r="X24">
        <v>18</v>
      </c>
      <c r="Y24" t="s">
        <v>83</v>
      </c>
      <c r="Z24">
        <v>80</v>
      </c>
      <c r="AA24" t="s">
        <v>84</v>
      </c>
      <c r="AB24" t="s">
        <v>85</v>
      </c>
      <c r="AD24">
        <v>0.18</v>
      </c>
      <c r="AE24" t="s">
        <v>86</v>
      </c>
      <c r="AF24" t="s">
        <v>87</v>
      </c>
      <c r="AG24" t="s">
        <v>52</v>
      </c>
      <c r="AH24" t="s">
        <v>88</v>
      </c>
      <c r="AI24" t="s">
        <v>89</v>
      </c>
      <c r="AJ24" t="s">
        <v>54</v>
      </c>
      <c r="AK24" t="s">
        <v>752</v>
      </c>
      <c r="AL24" t="s">
        <v>74</v>
      </c>
      <c r="AM24" t="s">
        <v>761</v>
      </c>
      <c r="AN24" t="s">
        <v>75</v>
      </c>
      <c r="AO24">
        <v>2257</v>
      </c>
    </row>
    <row r="25" spans="1:42" x14ac:dyDescent="0.3">
      <c r="A25" t="s">
        <v>299</v>
      </c>
      <c r="B25">
        <f>VLOOKUP(A25,Hoja1!B:C,2,0)</f>
        <v>21</v>
      </c>
      <c r="C25" t="s">
        <v>705</v>
      </c>
      <c r="D25">
        <f t="shared" si="1"/>
        <v>97</v>
      </c>
      <c r="E25">
        <v>494.73</v>
      </c>
      <c r="F25" t="s">
        <v>300</v>
      </c>
      <c r="G25" t="s">
        <v>734</v>
      </c>
      <c r="H25" t="e">
        <f>VLOOKUP(G25,Hoja1!B:C,2,0)</f>
        <v>#N/A</v>
      </c>
      <c r="J25" t="s">
        <v>301</v>
      </c>
      <c r="K25" t="s">
        <v>60</v>
      </c>
      <c r="L25" t="s">
        <v>302</v>
      </c>
      <c r="M25" t="s">
        <v>303</v>
      </c>
      <c r="N25" t="s">
        <v>175</v>
      </c>
      <c r="O25">
        <v>0.35</v>
      </c>
      <c r="P25" t="s">
        <v>40</v>
      </c>
      <c r="Q25" t="s">
        <v>304</v>
      </c>
      <c r="R25" t="s">
        <v>305</v>
      </c>
      <c r="S25" t="s">
        <v>306</v>
      </c>
      <c r="T25" t="s">
        <v>128</v>
      </c>
      <c r="V25">
        <v>12</v>
      </c>
      <c r="W25">
        <v>6</v>
      </c>
      <c r="X25">
        <v>18</v>
      </c>
      <c r="Y25" t="s">
        <v>307</v>
      </c>
      <c r="AA25" t="s">
        <v>308</v>
      </c>
      <c r="AB25" t="s">
        <v>309</v>
      </c>
      <c r="AD25">
        <v>0.25</v>
      </c>
      <c r="AE25" t="s">
        <v>310</v>
      </c>
      <c r="AF25" t="s">
        <v>311</v>
      </c>
      <c r="AH25" t="s">
        <v>312</v>
      </c>
      <c r="AJ25" t="s">
        <v>136</v>
      </c>
      <c r="AK25" t="s">
        <v>751</v>
      </c>
      <c r="AL25" t="s">
        <v>55</v>
      </c>
      <c r="AM25" t="s">
        <v>758</v>
      </c>
      <c r="AN25" t="s">
        <v>75</v>
      </c>
      <c r="AO25">
        <v>2257</v>
      </c>
      <c r="AP25" t="s">
        <v>313</v>
      </c>
    </row>
    <row r="26" spans="1:42" x14ac:dyDescent="0.3">
      <c r="A26" t="s">
        <v>630</v>
      </c>
      <c r="B26">
        <f>VLOOKUP(A26,Hoja1!B:C,2,0)</f>
        <v>22</v>
      </c>
      <c r="C26" t="s">
        <v>719</v>
      </c>
      <c r="D26">
        <f t="shared" si="1"/>
        <v>85</v>
      </c>
      <c r="E26">
        <v>199.9</v>
      </c>
      <c r="F26" t="s">
        <v>631</v>
      </c>
      <c r="G26" t="s">
        <v>734</v>
      </c>
      <c r="H26" t="e">
        <f>VLOOKUP(G26,Hoja1!B:C,2,0)</f>
        <v>#N/A</v>
      </c>
      <c r="J26" t="s">
        <v>632</v>
      </c>
      <c r="K26" t="s">
        <v>254</v>
      </c>
      <c r="L26" t="s">
        <v>633</v>
      </c>
      <c r="M26" t="s">
        <v>634</v>
      </c>
      <c r="N26" t="s">
        <v>588</v>
      </c>
      <c r="O26">
        <v>0.15</v>
      </c>
      <c r="P26" t="s">
        <v>109</v>
      </c>
      <c r="Q26" t="s">
        <v>635</v>
      </c>
      <c r="R26" t="s">
        <v>636</v>
      </c>
      <c r="S26" t="s">
        <v>637</v>
      </c>
      <c r="T26" t="s">
        <v>638</v>
      </c>
      <c r="U26" t="s">
        <v>45</v>
      </c>
      <c r="V26">
        <v>5</v>
      </c>
      <c r="W26">
        <v>5</v>
      </c>
      <c r="X26">
        <v>10</v>
      </c>
      <c r="Y26" t="s">
        <v>639</v>
      </c>
      <c r="Z26">
        <v>60</v>
      </c>
      <c r="AA26" t="s">
        <v>640</v>
      </c>
      <c r="AB26" t="s">
        <v>641</v>
      </c>
      <c r="AC26" t="s">
        <v>45</v>
      </c>
      <c r="AD26">
        <v>0.12</v>
      </c>
      <c r="AE26" t="s">
        <v>642</v>
      </c>
      <c r="AF26" t="s">
        <v>643</v>
      </c>
      <c r="AG26" t="s">
        <v>588</v>
      </c>
      <c r="AH26" t="s">
        <v>644</v>
      </c>
      <c r="AI26" t="s">
        <v>45</v>
      </c>
      <c r="AJ26" t="s">
        <v>136</v>
      </c>
      <c r="AK26" t="s">
        <v>751</v>
      </c>
      <c r="AL26" t="s">
        <v>55</v>
      </c>
      <c r="AM26" t="s">
        <v>758</v>
      </c>
      <c r="AN26" t="s">
        <v>75</v>
      </c>
      <c r="AO26">
        <v>2257</v>
      </c>
      <c r="AP26" t="s">
        <v>645</v>
      </c>
    </row>
    <row r="27" spans="1:42" x14ac:dyDescent="0.3">
      <c r="A27" t="s">
        <v>448</v>
      </c>
      <c r="B27">
        <f>VLOOKUP(A27,Hoja1!B:C,2,0)</f>
        <v>23</v>
      </c>
      <c r="C27" t="s">
        <v>714</v>
      </c>
      <c r="D27">
        <f t="shared" si="1"/>
        <v>87</v>
      </c>
      <c r="E27">
        <v>99.9</v>
      </c>
      <c r="F27" t="s">
        <v>449</v>
      </c>
      <c r="G27" t="s">
        <v>743</v>
      </c>
      <c r="H27" t="e">
        <f>VLOOKUP(G27,Hoja1!B:C,2,0)</f>
        <v>#N/A</v>
      </c>
      <c r="J27" t="s">
        <v>450</v>
      </c>
      <c r="K27" t="s">
        <v>451</v>
      </c>
      <c r="L27" t="s">
        <v>452</v>
      </c>
      <c r="M27" t="s">
        <v>453</v>
      </c>
      <c r="N27" t="s">
        <v>433</v>
      </c>
      <c r="O27">
        <v>0.35</v>
      </c>
      <c r="P27" t="s">
        <v>40</v>
      </c>
      <c r="Q27" t="s">
        <v>454</v>
      </c>
      <c r="R27" t="s">
        <v>455</v>
      </c>
      <c r="S27" t="s">
        <v>456</v>
      </c>
      <c r="T27" t="s">
        <v>457</v>
      </c>
      <c r="V27">
        <v>6</v>
      </c>
      <c r="W27">
        <v>18</v>
      </c>
      <c r="X27">
        <v>6</v>
      </c>
      <c r="Y27" t="s">
        <v>458</v>
      </c>
      <c r="Z27">
        <v>250</v>
      </c>
      <c r="AA27" t="s">
        <v>459</v>
      </c>
      <c r="AB27" t="s">
        <v>460</v>
      </c>
      <c r="AD27">
        <v>0.3</v>
      </c>
      <c r="AE27" t="s">
        <v>461</v>
      </c>
      <c r="AF27" t="s">
        <v>462</v>
      </c>
      <c r="AG27" t="s">
        <v>433</v>
      </c>
      <c r="AH27" t="s">
        <v>463</v>
      </c>
      <c r="AI27" t="s">
        <v>464</v>
      </c>
      <c r="AJ27" t="s">
        <v>378</v>
      </c>
      <c r="AK27" t="s">
        <v>755</v>
      </c>
      <c r="AL27" t="s">
        <v>379</v>
      </c>
      <c r="AM27" t="s">
        <v>757</v>
      </c>
      <c r="AN27" t="s">
        <v>380</v>
      </c>
      <c r="AO27">
        <v>3190</v>
      </c>
      <c r="AP27" t="s">
        <v>465</v>
      </c>
    </row>
    <row r="28" spans="1:42" x14ac:dyDescent="0.3">
      <c r="A28" t="s">
        <v>284</v>
      </c>
      <c r="B28">
        <f>VLOOKUP(A28,Hoja1!B:C,2,0)</f>
        <v>24</v>
      </c>
      <c r="C28" t="s">
        <v>704</v>
      </c>
      <c r="D28">
        <f t="shared" si="1"/>
        <v>93</v>
      </c>
      <c r="E28">
        <v>272.20999999999998</v>
      </c>
      <c r="F28" t="s">
        <v>154</v>
      </c>
      <c r="G28" t="s">
        <v>734</v>
      </c>
      <c r="H28" t="e">
        <f>VLOOKUP(G28,Hoja1!B:C,2,0)</f>
        <v>#N/A</v>
      </c>
      <c r="J28" t="s">
        <v>285</v>
      </c>
      <c r="K28" t="s">
        <v>60</v>
      </c>
      <c r="L28" t="s">
        <v>286</v>
      </c>
      <c r="M28" t="s">
        <v>287</v>
      </c>
      <c r="N28" t="s">
        <v>175</v>
      </c>
      <c r="O28">
        <v>0.45</v>
      </c>
      <c r="P28" t="s">
        <v>40</v>
      </c>
      <c r="Q28" t="s">
        <v>288</v>
      </c>
      <c r="R28" t="s">
        <v>289</v>
      </c>
      <c r="S28" t="s">
        <v>290</v>
      </c>
      <c r="T28" t="s">
        <v>291</v>
      </c>
      <c r="V28">
        <v>12</v>
      </c>
      <c r="W28">
        <v>6</v>
      </c>
      <c r="X28">
        <v>18</v>
      </c>
      <c r="Y28" t="s">
        <v>292</v>
      </c>
      <c r="AA28" t="s">
        <v>293</v>
      </c>
      <c r="AB28" t="s">
        <v>294</v>
      </c>
      <c r="AD28">
        <v>0.35</v>
      </c>
      <c r="AE28" t="s">
        <v>295</v>
      </c>
      <c r="AF28" t="s">
        <v>296</v>
      </c>
      <c r="AH28" t="s">
        <v>297</v>
      </c>
      <c r="AJ28" t="s">
        <v>136</v>
      </c>
      <c r="AK28" t="s">
        <v>751</v>
      </c>
      <c r="AL28" t="s">
        <v>55</v>
      </c>
      <c r="AM28" t="s">
        <v>758</v>
      </c>
      <c r="AN28" t="s">
        <v>75</v>
      </c>
      <c r="AO28">
        <v>2257</v>
      </c>
      <c r="AP28" t="s">
        <v>298</v>
      </c>
    </row>
    <row r="29" spans="1:42" x14ac:dyDescent="0.3">
      <c r="A29" t="s">
        <v>186</v>
      </c>
      <c r="B29">
        <f>VLOOKUP(A29,Hoja1!B:C,2,0)</f>
        <v>25</v>
      </c>
      <c r="C29" t="s">
        <v>698</v>
      </c>
      <c r="D29">
        <f t="shared" si="1"/>
        <v>98</v>
      </c>
      <c r="E29">
        <v>172.86</v>
      </c>
      <c r="F29" t="s">
        <v>171</v>
      </c>
      <c r="G29" t="s">
        <v>732</v>
      </c>
      <c r="H29" t="e">
        <f>VLOOKUP(G29,Hoja1!B:C,2,0)</f>
        <v>#N/A</v>
      </c>
      <c r="J29" t="s">
        <v>187</v>
      </c>
      <c r="K29" t="s">
        <v>60</v>
      </c>
      <c r="L29" t="s">
        <v>188</v>
      </c>
      <c r="M29" t="s">
        <v>189</v>
      </c>
      <c r="N29" t="s">
        <v>175</v>
      </c>
      <c r="O29">
        <v>0.45</v>
      </c>
      <c r="P29" t="s">
        <v>109</v>
      </c>
      <c r="R29" t="s">
        <v>190</v>
      </c>
      <c r="S29" t="s">
        <v>191</v>
      </c>
      <c r="T29" t="s">
        <v>192</v>
      </c>
      <c r="V29">
        <v>12</v>
      </c>
      <c r="W29">
        <v>20</v>
      </c>
      <c r="X29">
        <v>8</v>
      </c>
      <c r="Y29" t="s">
        <v>193</v>
      </c>
      <c r="Z29">
        <v>325</v>
      </c>
      <c r="AA29" t="s">
        <v>194</v>
      </c>
      <c r="AB29" t="s">
        <v>195</v>
      </c>
      <c r="AD29">
        <v>0.4</v>
      </c>
      <c r="AE29" t="s">
        <v>196</v>
      </c>
      <c r="AF29" t="s">
        <v>197</v>
      </c>
      <c r="AH29" t="s">
        <v>198</v>
      </c>
      <c r="AJ29" t="s">
        <v>136</v>
      </c>
      <c r="AK29" t="s">
        <v>751</v>
      </c>
      <c r="AL29" t="s">
        <v>199</v>
      </c>
      <c r="AM29" t="s">
        <v>759</v>
      </c>
      <c r="AN29" t="s">
        <v>56</v>
      </c>
      <c r="AO29">
        <v>1754</v>
      </c>
      <c r="AP29" t="s">
        <v>200</v>
      </c>
    </row>
    <row r="30" spans="1:42" x14ac:dyDescent="0.3">
      <c r="A30" t="s">
        <v>582</v>
      </c>
      <c r="B30">
        <f>VLOOKUP(A30,Hoja1!B:C,2,0)</f>
        <v>26</v>
      </c>
      <c r="C30" t="s">
        <v>718</v>
      </c>
      <c r="D30">
        <f t="shared" si="1"/>
        <v>86</v>
      </c>
      <c r="E30">
        <v>115</v>
      </c>
      <c r="F30" t="s">
        <v>583</v>
      </c>
      <c r="G30" t="s">
        <v>746</v>
      </c>
      <c r="H30" t="e">
        <f>VLOOKUP(G30,Hoja1!B:C,2,0)</f>
        <v>#N/A</v>
      </c>
      <c r="J30" t="s">
        <v>584</v>
      </c>
      <c r="K30" t="s">
        <v>585</v>
      </c>
      <c r="L30" t="s">
        <v>586</v>
      </c>
      <c r="M30" t="s">
        <v>587</v>
      </c>
      <c r="N30" t="s">
        <v>588</v>
      </c>
      <c r="O30">
        <v>0.4</v>
      </c>
      <c r="P30" t="s">
        <v>40</v>
      </c>
      <c r="Q30" t="s">
        <v>589</v>
      </c>
      <c r="R30" t="s">
        <v>590</v>
      </c>
      <c r="S30" t="s">
        <v>591</v>
      </c>
      <c r="T30" t="s">
        <v>128</v>
      </c>
      <c r="U30" t="s">
        <v>45</v>
      </c>
      <c r="V30">
        <v>5</v>
      </c>
      <c r="W30">
        <v>15</v>
      </c>
      <c r="X30">
        <v>5</v>
      </c>
      <c r="Y30" t="s">
        <v>592</v>
      </c>
      <c r="AA30" t="s">
        <v>593</v>
      </c>
      <c r="AB30" t="s">
        <v>594</v>
      </c>
      <c r="AD30">
        <v>0.15</v>
      </c>
      <c r="AE30" t="s">
        <v>595</v>
      </c>
      <c r="AF30" t="s">
        <v>596</v>
      </c>
      <c r="AG30" t="s">
        <v>588</v>
      </c>
      <c r="AH30" t="s">
        <v>597</v>
      </c>
      <c r="AJ30" t="s">
        <v>136</v>
      </c>
      <c r="AK30" t="s">
        <v>751</v>
      </c>
      <c r="AL30" t="s">
        <v>55</v>
      </c>
      <c r="AM30" t="s">
        <v>758</v>
      </c>
      <c r="AN30" t="s">
        <v>598</v>
      </c>
      <c r="AO30">
        <v>581</v>
      </c>
      <c r="AP30" t="s">
        <v>590</v>
      </c>
    </row>
    <row r="31" spans="1:42" hidden="1" x14ac:dyDescent="0.3">
      <c r="A31" s="2" t="s">
        <v>518</v>
      </c>
      <c r="B31" s="2"/>
      <c r="C31" t="s">
        <v>716</v>
      </c>
      <c r="D31">
        <f t="shared" si="1"/>
        <v>88</v>
      </c>
      <c r="E31">
        <v>114.9</v>
      </c>
      <c r="F31" t="s">
        <v>519</v>
      </c>
      <c r="G31" t="s">
        <v>749</v>
      </c>
      <c r="H31" t="e">
        <f>VLOOKUP(G31,Hoja1!B:C,2,0)</f>
        <v>#N/A</v>
      </c>
      <c r="I31" t="s">
        <v>735</v>
      </c>
      <c r="J31" t="s">
        <v>520</v>
      </c>
      <c r="K31" t="s">
        <v>60</v>
      </c>
      <c r="L31" t="s">
        <v>521</v>
      </c>
      <c r="M31" t="s">
        <v>522</v>
      </c>
      <c r="N31" t="s">
        <v>433</v>
      </c>
      <c r="O31">
        <v>0.15</v>
      </c>
      <c r="P31" t="s">
        <v>40</v>
      </c>
      <c r="Q31" t="s">
        <v>523</v>
      </c>
      <c r="R31" t="s">
        <v>524</v>
      </c>
      <c r="S31" t="s">
        <v>525</v>
      </c>
      <c r="T31" t="s">
        <v>128</v>
      </c>
      <c r="U31" t="s">
        <v>526</v>
      </c>
      <c r="V31">
        <v>5</v>
      </c>
      <c r="W31">
        <v>15</v>
      </c>
      <c r="X31">
        <v>5</v>
      </c>
      <c r="Y31" t="s">
        <v>527</v>
      </c>
      <c r="AA31" t="s">
        <v>528</v>
      </c>
      <c r="AB31" t="s">
        <v>529</v>
      </c>
      <c r="AC31" t="s">
        <v>530</v>
      </c>
      <c r="AD31">
        <v>0.06</v>
      </c>
      <c r="AE31" t="s">
        <v>531</v>
      </c>
      <c r="AF31" t="s">
        <v>532</v>
      </c>
      <c r="AG31" t="s">
        <v>433</v>
      </c>
      <c r="AH31" t="s">
        <v>533</v>
      </c>
      <c r="AI31" t="s">
        <v>89</v>
      </c>
      <c r="AJ31" t="s">
        <v>136</v>
      </c>
      <c r="AK31" t="s">
        <v>751</v>
      </c>
      <c r="AL31" t="s">
        <v>232</v>
      </c>
      <c r="AM31" t="s">
        <v>760</v>
      </c>
      <c r="AN31" t="s">
        <v>233</v>
      </c>
      <c r="AO31">
        <v>492</v>
      </c>
      <c r="AP31" t="s">
        <v>534</v>
      </c>
    </row>
    <row r="32" spans="1:42" hidden="1" x14ac:dyDescent="0.3">
      <c r="A32" s="2" t="s">
        <v>535</v>
      </c>
      <c r="B32" s="2"/>
      <c r="C32" t="s">
        <v>725</v>
      </c>
      <c r="D32">
        <f t="shared" si="1"/>
        <v>89</v>
      </c>
      <c r="E32">
        <v>114.9</v>
      </c>
      <c r="F32" t="s">
        <v>536</v>
      </c>
      <c r="G32" t="s">
        <v>749</v>
      </c>
      <c r="H32" t="e">
        <f>VLOOKUP(G32,Hoja1!B:C,2,0)</f>
        <v>#N/A</v>
      </c>
      <c r="I32" t="s">
        <v>736</v>
      </c>
      <c r="J32" t="s">
        <v>537</v>
      </c>
      <c r="K32" t="s">
        <v>60</v>
      </c>
      <c r="L32" t="s">
        <v>538</v>
      </c>
      <c r="M32" t="s">
        <v>539</v>
      </c>
      <c r="N32" t="s">
        <v>433</v>
      </c>
      <c r="O32">
        <v>0.15</v>
      </c>
      <c r="P32" t="s">
        <v>40</v>
      </c>
      <c r="Q32" t="s">
        <v>540</v>
      </c>
      <c r="R32" t="s">
        <v>541</v>
      </c>
      <c r="S32" t="s">
        <v>542</v>
      </c>
      <c r="T32" t="s">
        <v>128</v>
      </c>
      <c r="U32" t="s">
        <v>543</v>
      </c>
      <c r="V32">
        <v>5</v>
      </c>
      <c r="W32">
        <v>12</v>
      </c>
      <c r="X32">
        <v>5</v>
      </c>
      <c r="Y32" t="s">
        <v>544</v>
      </c>
      <c r="AA32" t="s">
        <v>545</v>
      </c>
      <c r="AB32" t="s">
        <v>546</v>
      </c>
      <c r="AC32" t="s">
        <v>49</v>
      </c>
      <c r="AD32">
        <v>0.06</v>
      </c>
      <c r="AE32" t="s">
        <v>547</v>
      </c>
      <c r="AF32" t="s">
        <v>548</v>
      </c>
      <c r="AG32" t="s">
        <v>433</v>
      </c>
      <c r="AH32" t="s">
        <v>549</v>
      </c>
      <c r="AJ32" t="s">
        <v>136</v>
      </c>
      <c r="AK32" t="s">
        <v>751</v>
      </c>
      <c r="AL32" t="s">
        <v>232</v>
      </c>
      <c r="AM32" t="s">
        <v>760</v>
      </c>
      <c r="AN32" t="s">
        <v>233</v>
      </c>
      <c r="AO32">
        <v>492</v>
      </c>
      <c r="AP32" t="s">
        <v>550</v>
      </c>
    </row>
    <row r="33" spans="1:42" hidden="1" x14ac:dyDescent="0.3">
      <c r="A33" s="2" t="s">
        <v>551</v>
      </c>
      <c r="B33" s="2"/>
      <c r="C33" t="s">
        <v>717</v>
      </c>
      <c r="D33">
        <f t="shared" si="1"/>
        <v>96</v>
      </c>
      <c r="E33">
        <v>159.9</v>
      </c>
      <c r="F33" t="s">
        <v>552</v>
      </c>
      <c r="G33" t="s">
        <v>745</v>
      </c>
      <c r="H33" t="e">
        <f>VLOOKUP(G33,Hoja1!B:C,2,0)</f>
        <v>#N/A</v>
      </c>
      <c r="I33" t="s">
        <v>742</v>
      </c>
      <c r="J33" t="s">
        <v>553</v>
      </c>
      <c r="K33" t="s">
        <v>487</v>
      </c>
      <c r="L33" t="s">
        <v>554</v>
      </c>
      <c r="M33" t="s">
        <v>555</v>
      </c>
      <c r="N33" t="s">
        <v>433</v>
      </c>
      <c r="O33">
        <v>0.6</v>
      </c>
      <c r="P33" t="s">
        <v>556</v>
      </c>
      <c r="Q33" t="s">
        <v>557</v>
      </c>
      <c r="R33" t="s">
        <v>558</v>
      </c>
      <c r="S33" t="s">
        <v>559</v>
      </c>
      <c r="T33" t="s">
        <v>371</v>
      </c>
      <c r="U33" t="s">
        <v>45</v>
      </c>
      <c r="V33">
        <v>6</v>
      </c>
      <c r="W33">
        <v>18</v>
      </c>
      <c r="X33">
        <v>6</v>
      </c>
      <c r="Y33" t="s">
        <v>560</v>
      </c>
      <c r="Z33">
        <v>400</v>
      </c>
      <c r="AA33" t="s">
        <v>561</v>
      </c>
      <c r="AB33" t="s">
        <v>562</v>
      </c>
      <c r="AC33" t="s">
        <v>45</v>
      </c>
      <c r="AD33">
        <v>0.45</v>
      </c>
      <c r="AE33" t="s">
        <v>563</v>
      </c>
      <c r="AF33" t="s">
        <v>564</v>
      </c>
      <c r="AG33" t="s">
        <v>433</v>
      </c>
      <c r="AH33" t="s">
        <v>565</v>
      </c>
      <c r="AI33" t="s">
        <v>89</v>
      </c>
      <c r="AJ33" t="s">
        <v>136</v>
      </c>
      <c r="AK33" t="s">
        <v>751</v>
      </c>
      <c r="AL33" t="s">
        <v>232</v>
      </c>
      <c r="AM33" t="s">
        <v>760</v>
      </c>
      <c r="AN33" t="s">
        <v>233</v>
      </c>
      <c r="AO33">
        <v>492</v>
      </c>
      <c r="AP33" t="s">
        <v>566</v>
      </c>
    </row>
    <row r="34" spans="1:42" hidden="1" x14ac:dyDescent="0.3">
      <c r="A34" s="2" t="s">
        <v>567</v>
      </c>
      <c r="B34" s="2"/>
      <c r="C34" t="s">
        <v>726</v>
      </c>
      <c r="D34">
        <f t="shared" si="1"/>
        <v>82</v>
      </c>
      <c r="E34">
        <v>154.9</v>
      </c>
      <c r="F34" t="s">
        <v>552</v>
      </c>
      <c r="G34" t="s">
        <v>745</v>
      </c>
      <c r="H34" t="e">
        <f>VLOOKUP(G34,Hoja1!B:C,2,0)</f>
        <v>#N/A</v>
      </c>
      <c r="I34" t="s">
        <v>742</v>
      </c>
      <c r="J34" t="s">
        <v>568</v>
      </c>
      <c r="K34" t="s">
        <v>60</v>
      </c>
      <c r="L34" t="s">
        <v>569</v>
      </c>
      <c r="M34" t="s">
        <v>570</v>
      </c>
      <c r="N34" t="s">
        <v>433</v>
      </c>
      <c r="O34">
        <v>0.5</v>
      </c>
      <c r="P34" t="s">
        <v>556</v>
      </c>
      <c r="Q34" t="s">
        <v>571</v>
      </c>
      <c r="R34" t="s">
        <v>572</v>
      </c>
      <c r="S34" t="s">
        <v>573</v>
      </c>
      <c r="T34" t="s">
        <v>574</v>
      </c>
      <c r="U34" t="s">
        <v>228</v>
      </c>
      <c r="V34">
        <v>6</v>
      </c>
      <c r="W34">
        <v>18</v>
      </c>
      <c r="X34">
        <v>6</v>
      </c>
      <c r="Y34" t="s">
        <v>575</v>
      </c>
      <c r="Z34">
        <v>400</v>
      </c>
      <c r="AA34" t="s">
        <v>576</v>
      </c>
      <c r="AB34" t="s">
        <v>577</v>
      </c>
      <c r="AC34" t="s">
        <v>228</v>
      </c>
      <c r="AD34">
        <v>0.45</v>
      </c>
      <c r="AE34" t="s">
        <v>578</v>
      </c>
      <c r="AF34" t="s">
        <v>579</v>
      </c>
      <c r="AG34" t="s">
        <v>433</v>
      </c>
      <c r="AH34" t="s">
        <v>580</v>
      </c>
      <c r="AI34" t="s">
        <v>89</v>
      </c>
      <c r="AJ34" t="s">
        <v>136</v>
      </c>
      <c r="AK34" t="s">
        <v>751</v>
      </c>
      <c r="AL34" t="s">
        <v>232</v>
      </c>
      <c r="AM34" t="s">
        <v>760</v>
      </c>
      <c r="AN34" t="s">
        <v>233</v>
      </c>
      <c r="AO34">
        <v>492</v>
      </c>
      <c r="AP34" t="s">
        <v>581</v>
      </c>
    </row>
    <row r="35" spans="1:42" x14ac:dyDescent="0.3">
      <c r="A35" t="s">
        <v>57</v>
      </c>
      <c r="B35">
        <f>VLOOKUP(A35,Hoja1!B:C,2,0)</f>
        <v>27</v>
      </c>
      <c r="C35" t="s">
        <v>691</v>
      </c>
      <c r="D35">
        <f t="shared" si="1"/>
        <v>86</v>
      </c>
      <c r="E35">
        <v>401.2</v>
      </c>
      <c r="F35" t="s">
        <v>58</v>
      </c>
      <c r="G35" t="s">
        <v>734</v>
      </c>
      <c r="H35" t="e">
        <f>VLOOKUP(G35,Hoja1!B:C,2,0)</f>
        <v>#N/A</v>
      </c>
      <c r="J35" t="s">
        <v>59</v>
      </c>
      <c r="K35" t="s">
        <v>60</v>
      </c>
      <c r="L35" t="s">
        <v>61</v>
      </c>
      <c r="M35" t="s">
        <v>62</v>
      </c>
      <c r="N35" t="s">
        <v>63</v>
      </c>
      <c r="O35">
        <v>0.25</v>
      </c>
      <c r="P35" t="s">
        <v>40</v>
      </c>
      <c r="Q35" t="s">
        <v>64</v>
      </c>
      <c r="R35" t="s">
        <v>65</v>
      </c>
      <c r="S35" t="s">
        <v>66</v>
      </c>
      <c r="T35" t="s">
        <v>67</v>
      </c>
      <c r="V35">
        <v>12</v>
      </c>
      <c r="W35">
        <v>8</v>
      </c>
      <c r="X35">
        <v>5</v>
      </c>
      <c r="Y35" t="s">
        <v>68</v>
      </c>
      <c r="Z35">
        <v>80</v>
      </c>
      <c r="AA35" t="s">
        <v>69</v>
      </c>
      <c r="AB35" t="s">
        <v>70</v>
      </c>
      <c r="AD35">
        <v>0.18</v>
      </c>
      <c r="AE35" t="s">
        <v>71</v>
      </c>
      <c r="AF35" t="s">
        <v>72</v>
      </c>
      <c r="AH35" t="s">
        <v>73</v>
      </c>
      <c r="AJ35" t="s">
        <v>54</v>
      </c>
      <c r="AK35" t="s">
        <v>752</v>
      </c>
      <c r="AL35" t="s">
        <v>74</v>
      </c>
      <c r="AM35" t="s">
        <v>761</v>
      </c>
      <c r="AN35" t="s">
        <v>75</v>
      </c>
      <c r="AO35">
        <v>2257</v>
      </c>
    </row>
    <row r="36" spans="1:42" x14ac:dyDescent="0.3">
      <c r="A36" t="s">
        <v>105</v>
      </c>
      <c r="B36">
        <f>VLOOKUP(A36,Hoja1!B:C,2,0)</f>
        <v>28</v>
      </c>
      <c r="C36" t="s">
        <v>694</v>
      </c>
      <c r="D36">
        <f t="shared" si="1"/>
        <v>88</v>
      </c>
      <c r="E36">
        <v>389.5</v>
      </c>
      <c r="F36" t="s">
        <v>58</v>
      </c>
      <c r="G36" t="s">
        <v>734</v>
      </c>
      <c r="H36" t="e">
        <f>VLOOKUP(G36,Hoja1!B:C,2,0)</f>
        <v>#N/A</v>
      </c>
      <c r="J36" t="s">
        <v>106</v>
      </c>
      <c r="K36" t="s">
        <v>92</v>
      </c>
      <c r="L36" t="s">
        <v>107</v>
      </c>
      <c r="M36" t="s">
        <v>108</v>
      </c>
      <c r="N36" t="s">
        <v>39</v>
      </c>
      <c r="O36">
        <v>0.25</v>
      </c>
      <c r="P36" t="s">
        <v>109</v>
      </c>
      <c r="Q36" t="s">
        <v>110</v>
      </c>
      <c r="R36" t="s">
        <v>111</v>
      </c>
      <c r="S36" t="s">
        <v>66</v>
      </c>
      <c r="T36" t="s">
        <v>112</v>
      </c>
      <c r="V36">
        <v>12</v>
      </c>
      <c r="W36">
        <v>8</v>
      </c>
      <c r="X36">
        <v>5</v>
      </c>
      <c r="Y36" t="s">
        <v>113</v>
      </c>
      <c r="Z36">
        <v>70</v>
      </c>
      <c r="AA36" t="s">
        <v>114</v>
      </c>
      <c r="AB36" t="s">
        <v>115</v>
      </c>
      <c r="AD36">
        <v>0.18</v>
      </c>
      <c r="AE36" t="s">
        <v>116</v>
      </c>
      <c r="AF36" t="s">
        <v>117</v>
      </c>
      <c r="AH36" t="s">
        <v>118</v>
      </c>
      <c r="AJ36" t="s">
        <v>54</v>
      </c>
      <c r="AK36" t="s">
        <v>752</v>
      </c>
      <c r="AL36" t="s">
        <v>55</v>
      </c>
      <c r="AM36" t="s">
        <v>758</v>
      </c>
      <c r="AN36" t="s">
        <v>75</v>
      </c>
      <c r="AO36">
        <v>2257</v>
      </c>
      <c r="AP36" t="s">
        <v>119</v>
      </c>
    </row>
    <row r="37" spans="1:42" hidden="1" x14ac:dyDescent="0.3">
      <c r="A37" s="2" t="s">
        <v>615</v>
      </c>
      <c r="B37" s="2"/>
      <c r="C37" t="s">
        <v>728</v>
      </c>
      <c r="D37">
        <f t="shared" si="1"/>
        <v>86</v>
      </c>
      <c r="E37">
        <v>259</v>
      </c>
      <c r="F37" t="s">
        <v>236</v>
      </c>
      <c r="G37" t="s">
        <v>734</v>
      </c>
      <c r="H37" t="e">
        <f>VLOOKUP(G37,Hoja1!B:C,2,0)</f>
        <v>#N/A</v>
      </c>
      <c r="I37" t="s">
        <v>735</v>
      </c>
      <c r="J37" t="s">
        <v>616</v>
      </c>
      <c r="K37" t="s">
        <v>60</v>
      </c>
      <c r="L37" t="s">
        <v>617</v>
      </c>
      <c r="M37" t="s">
        <v>618</v>
      </c>
      <c r="N37" t="s">
        <v>588</v>
      </c>
      <c r="O37">
        <v>0.25</v>
      </c>
      <c r="P37" t="s">
        <v>40</v>
      </c>
      <c r="Q37" t="s">
        <v>619</v>
      </c>
      <c r="R37" t="s">
        <v>620</v>
      </c>
      <c r="S37" t="s">
        <v>621</v>
      </c>
      <c r="T37" t="s">
        <v>622</v>
      </c>
      <c r="U37" t="s">
        <v>45</v>
      </c>
      <c r="V37">
        <v>5</v>
      </c>
      <c r="W37">
        <v>5</v>
      </c>
      <c r="X37">
        <v>10</v>
      </c>
      <c r="Y37" t="s">
        <v>623</v>
      </c>
      <c r="Z37">
        <v>100</v>
      </c>
      <c r="AA37" t="s">
        <v>624</v>
      </c>
      <c r="AB37" t="s">
        <v>625</v>
      </c>
      <c r="AC37" t="s">
        <v>45</v>
      </c>
      <c r="AD37">
        <v>0.2</v>
      </c>
      <c r="AE37" t="s">
        <v>626</v>
      </c>
      <c r="AF37" t="s">
        <v>627</v>
      </c>
      <c r="AG37" t="s">
        <v>588</v>
      </c>
      <c r="AH37" t="s">
        <v>628</v>
      </c>
      <c r="AI37" t="s">
        <v>45</v>
      </c>
      <c r="AJ37" t="s">
        <v>136</v>
      </c>
      <c r="AK37" t="s">
        <v>751</v>
      </c>
      <c r="AL37" t="s">
        <v>55</v>
      </c>
      <c r="AM37" t="s">
        <v>758</v>
      </c>
      <c r="AN37" t="s">
        <v>75</v>
      </c>
      <c r="AO37">
        <v>2257</v>
      </c>
      <c r="AP37" t="s">
        <v>629</v>
      </c>
    </row>
    <row r="38" spans="1:42" x14ac:dyDescent="0.3">
      <c r="A38" t="s">
        <v>501</v>
      </c>
      <c r="B38">
        <f>VLOOKUP(A38,Hoja1!B:C,2,0)</f>
        <v>29</v>
      </c>
      <c r="C38" t="s">
        <v>724</v>
      </c>
      <c r="D38">
        <f t="shared" si="1"/>
        <v>88</v>
      </c>
      <c r="E38">
        <v>248.8</v>
      </c>
      <c r="F38" t="s">
        <v>502</v>
      </c>
      <c r="G38" t="s">
        <v>732</v>
      </c>
      <c r="H38" t="e">
        <f>VLOOKUP(G38,Hoja1!B:C,2,0)</f>
        <v>#N/A</v>
      </c>
      <c r="J38" t="s">
        <v>503</v>
      </c>
      <c r="K38" t="s">
        <v>504</v>
      </c>
      <c r="L38" t="s">
        <v>505</v>
      </c>
      <c r="M38" t="s">
        <v>506</v>
      </c>
      <c r="N38" t="s">
        <v>433</v>
      </c>
      <c r="O38">
        <v>0.85</v>
      </c>
      <c r="P38" t="s">
        <v>40</v>
      </c>
      <c r="Q38" t="s">
        <v>507</v>
      </c>
      <c r="R38" t="s">
        <v>508</v>
      </c>
      <c r="S38" t="s">
        <v>509</v>
      </c>
      <c r="T38" t="s">
        <v>510</v>
      </c>
      <c r="U38" t="s">
        <v>45</v>
      </c>
      <c r="V38">
        <v>15</v>
      </c>
      <c r="W38">
        <v>22</v>
      </c>
      <c r="X38">
        <v>10</v>
      </c>
      <c r="Y38" t="s">
        <v>511</v>
      </c>
      <c r="Z38">
        <v>750</v>
      </c>
      <c r="AA38" t="s">
        <v>512</v>
      </c>
      <c r="AB38" t="s">
        <v>513</v>
      </c>
      <c r="AC38" t="s">
        <v>49</v>
      </c>
      <c r="AD38">
        <v>0.75</v>
      </c>
      <c r="AE38" t="s">
        <v>514</v>
      </c>
      <c r="AF38" t="s">
        <v>515</v>
      </c>
      <c r="AG38" t="s">
        <v>433</v>
      </c>
      <c r="AH38" t="s">
        <v>516</v>
      </c>
      <c r="AI38" t="s">
        <v>45</v>
      </c>
      <c r="AJ38" t="s">
        <v>136</v>
      </c>
      <c r="AK38" t="s">
        <v>751</v>
      </c>
      <c r="AL38" t="s">
        <v>55</v>
      </c>
      <c r="AM38" t="s">
        <v>758</v>
      </c>
      <c r="AN38" t="s">
        <v>56</v>
      </c>
      <c r="AO38">
        <v>1754</v>
      </c>
      <c r="AP38" t="s">
        <v>517</v>
      </c>
    </row>
    <row r="39" spans="1:42" x14ac:dyDescent="0.3">
      <c r="A39" t="s">
        <v>201</v>
      </c>
      <c r="B39">
        <f>VLOOKUP(A39,Hoja1!B:C,2,0)</f>
        <v>30</v>
      </c>
      <c r="C39" t="s">
        <v>699</v>
      </c>
      <c r="D39">
        <f t="shared" si="1"/>
        <v>97</v>
      </c>
      <c r="E39">
        <v>234.19</v>
      </c>
      <c r="F39" t="s">
        <v>34</v>
      </c>
      <c r="G39" t="s">
        <v>732</v>
      </c>
      <c r="H39" t="e">
        <f>VLOOKUP(G39,Hoja1!B:C,2,0)</f>
        <v>#N/A</v>
      </c>
      <c r="J39" t="s">
        <v>202</v>
      </c>
      <c r="K39" t="s">
        <v>203</v>
      </c>
      <c r="L39" t="s">
        <v>204</v>
      </c>
      <c r="M39" t="s">
        <v>205</v>
      </c>
      <c r="N39" t="s">
        <v>175</v>
      </c>
      <c r="O39">
        <v>0.35</v>
      </c>
      <c r="P39" t="s">
        <v>40</v>
      </c>
      <c r="Q39" t="s">
        <v>206</v>
      </c>
      <c r="R39" t="s">
        <v>207</v>
      </c>
      <c r="S39" t="s">
        <v>43</v>
      </c>
      <c r="T39" t="s">
        <v>208</v>
      </c>
      <c r="V39">
        <v>8</v>
      </c>
      <c r="W39">
        <v>18</v>
      </c>
      <c r="X39">
        <v>12</v>
      </c>
      <c r="Y39" t="s">
        <v>209</v>
      </c>
      <c r="Z39">
        <v>275</v>
      </c>
      <c r="AA39" t="s">
        <v>210</v>
      </c>
      <c r="AB39" t="s">
        <v>211</v>
      </c>
      <c r="AD39">
        <v>0.3</v>
      </c>
      <c r="AE39" t="s">
        <v>212</v>
      </c>
      <c r="AF39" t="s">
        <v>213</v>
      </c>
      <c r="AH39" t="s">
        <v>214</v>
      </c>
      <c r="AJ39" t="s">
        <v>54</v>
      </c>
      <c r="AK39" t="s">
        <v>752</v>
      </c>
      <c r="AL39" t="s">
        <v>55</v>
      </c>
      <c r="AM39" t="s">
        <v>758</v>
      </c>
      <c r="AN39" t="s">
        <v>75</v>
      </c>
      <c r="AO39">
        <v>2257</v>
      </c>
      <c r="AP39" t="s">
        <v>215</v>
      </c>
    </row>
    <row r="40" spans="1:42" hidden="1" x14ac:dyDescent="0.3">
      <c r="A40" s="2" t="s">
        <v>659</v>
      </c>
      <c r="B40" s="2"/>
      <c r="C40" t="s">
        <v>730</v>
      </c>
      <c r="D40">
        <f t="shared" si="0"/>
        <v>91</v>
      </c>
      <c r="E40">
        <v>249.8</v>
      </c>
      <c r="F40" t="s">
        <v>660</v>
      </c>
      <c r="G40" t="s">
        <v>749</v>
      </c>
      <c r="H40" t="e">
        <f>VLOOKUP(G40,Hoja1!B:C,2,0)</f>
        <v>#N/A</v>
      </c>
      <c r="I40" t="s">
        <v>748</v>
      </c>
      <c r="J40" t="s">
        <v>661</v>
      </c>
      <c r="K40" t="s">
        <v>60</v>
      </c>
      <c r="L40" t="s">
        <v>662</v>
      </c>
      <c r="M40" t="s">
        <v>663</v>
      </c>
      <c r="N40" t="s">
        <v>664</v>
      </c>
      <c r="O40">
        <v>0.35</v>
      </c>
      <c r="P40" t="s">
        <v>40</v>
      </c>
      <c r="Q40" t="s">
        <v>665</v>
      </c>
      <c r="R40" t="s">
        <v>666</v>
      </c>
      <c r="S40" t="s">
        <v>667</v>
      </c>
      <c r="T40" t="s">
        <v>668</v>
      </c>
      <c r="V40">
        <v>12</v>
      </c>
      <c r="W40">
        <v>8</v>
      </c>
      <c r="X40">
        <v>18</v>
      </c>
      <c r="Y40" t="s">
        <v>669</v>
      </c>
      <c r="Z40">
        <v>250</v>
      </c>
      <c r="AA40" t="s">
        <v>670</v>
      </c>
      <c r="AB40" t="s">
        <v>671</v>
      </c>
      <c r="AD40">
        <v>0.3</v>
      </c>
      <c r="AE40" t="s">
        <v>672</v>
      </c>
      <c r="AF40" t="s">
        <v>673</v>
      </c>
      <c r="AG40" t="s">
        <v>664</v>
      </c>
      <c r="AH40" t="s">
        <v>674</v>
      </c>
      <c r="AJ40" t="s">
        <v>233</v>
      </c>
      <c r="AK40" t="s">
        <v>754</v>
      </c>
      <c r="AL40" t="s">
        <v>232</v>
      </c>
      <c r="AM40" t="s">
        <v>760</v>
      </c>
      <c r="AN40" t="s">
        <v>233</v>
      </c>
      <c r="AO40">
        <v>492</v>
      </c>
      <c r="AP40" t="s">
        <v>675</v>
      </c>
    </row>
    <row r="41" spans="1:42" hidden="1" x14ac:dyDescent="0.3">
      <c r="A41" s="2" t="s">
        <v>676</v>
      </c>
      <c r="B41" s="2"/>
      <c r="C41" t="s">
        <v>720</v>
      </c>
      <c r="D41">
        <f t="shared" si="0"/>
        <v>89</v>
      </c>
      <c r="E41">
        <v>214.8</v>
      </c>
      <c r="F41" t="s">
        <v>536</v>
      </c>
      <c r="G41" t="s">
        <v>749</v>
      </c>
      <c r="H41" t="e">
        <f>VLOOKUP(G41,Hoja1!B:C,2,0)</f>
        <v>#N/A</v>
      </c>
      <c r="I41" t="s">
        <v>736</v>
      </c>
      <c r="J41" t="s">
        <v>677</v>
      </c>
      <c r="K41" t="s">
        <v>60</v>
      </c>
      <c r="L41" t="s">
        <v>678</v>
      </c>
      <c r="M41" t="s">
        <v>679</v>
      </c>
      <c r="N41" t="s">
        <v>664</v>
      </c>
      <c r="O41">
        <v>0.15</v>
      </c>
      <c r="P41" t="s">
        <v>40</v>
      </c>
      <c r="Q41" t="s">
        <v>680</v>
      </c>
      <c r="R41" t="s">
        <v>681</v>
      </c>
      <c r="S41" t="s">
        <v>682</v>
      </c>
      <c r="T41" t="s">
        <v>683</v>
      </c>
      <c r="U41" t="s">
        <v>45</v>
      </c>
      <c r="V41">
        <v>12</v>
      </c>
      <c r="W41">
        <v>5</v>
      </c>
      <c r="X41">
        <v>18</v>
      </c>
      <c r="Y41" t="s">
        <v>684</v>
      </c>
      <c r="Z41">
        <v>50</v>
      </c>
      <c r="AA41" t="s">
        <v>685</v>
      </c>
      <c r="AB41" t="s">
        <v>686</v>
      </c>
      <c r="AC41" t="s">
        <v>45</v>
      </c>
      <c r="AD41">
        <v>0.1</v>
      </c>
      <c r="AE41" t="s">
        <v>687</v>
      </c>
      <c r="AF41" t="s">
        <v>688</v>
      </c>
      <c r="AG41" t="s">
        <v>664</v>
      </c>
      <c r="AH41" t="s">
        <v>689</v>
      </c>
      <c r="AI41" t="s">
        <v>45</v>
      </c>
      <c r="AJ41" t="s">
        <v>136</v>
      </c>
      <c r="AK41" t="s">
        <v>751</v>
      </c>
      <c r="AL41" t="s">
        <v>232</v>
      </c>
      <c r="AM41" t="s">
        <v>760</v>
      </c>
      <c r="AN41" t="s">
        <v>233</v>
      </c>
      <c r="AO41">
        <v>492</v>
      </c>
      <c r="AP41" t="s">
        <v>690</v>
      </c>
    </row>
  </sheetData>
  <autoFilter ref="A1:AP41" xr:uid="{00000000-0001-0000-0000-000000000000}">
    <filterColumn colId="0">
      <colorFilter dxfId="0"/>
    </filterColumn>
    <sortState xmlns:xlrd2="http://schemas.microsoft.com/office/spreadsheetml/2017/richdata2" ref="A2:AP39">
      <sortCondition ref="B1:B41"/>
    </sortState>
  </autoFilter>
  <pageMargins left="0.7" right="0.7" top="0.75" bottom="0.75" header="0.3" footer="0.3"/>
  <pageSetup orientation="portrait" r:id="rId1"/>
  <ignoredErrors>
    <ignoredError sqref="AP1 C1 J1:AJ1 AL1 AN1 A1 AP40:AP41 J40:AJ41 AL40:AL41 AN40:AN41 A40:A4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3B48-E315-4DD5-9699-4812EA360106}">
  <dimension ref="B1:C62"/>
  <sheetViews>
    <sheetView workbookViewId="0">
      <selection activeCell="C1" sqref="C1:C30"/>
    </sheetView>
  </sheetViews>
  <sheetFormatPr baseColWidth="10" defaultRowHeight="15.6" x14ac:dyDescent="0.3"/>
  <sheetData>
    <row r="1" spans="2:3" x14ac:dyDescent="0.3">
      <c r="B1" s="5" t="s">
        <v>251</v>
      </c>
      <c r="C1">
        <v>1</v>
      </c>
    </row>
    <row r="2" spans="2:3" x14ac:dyDescent="0.3">
      <c r="B2" s="5" t="s">
        <v>138</v>
      </c>
      <c r="C2">
        <v>2</v>
      </c>
    </row>
    <row r="3" spans="2:3" x14ac:dyDescent="0.3">
      <c r="B3" s="5" t="s">
        <v>484</v>
      </c>
      <c r="C3">
        <v>3</v>
      </c>
    </row>
    <row r="4" spans="2:3" x14ac:dyDescent="0.3">
      <c r="B4" s="5" t="s">
        <v>646</v>
      </c>
      <c r="C4">
        <v>4</v>
      </c>
    </row>
    <row r="5" spans="2:3" x14ac:dyDescent="0.3">
      <c r="B5" s="5" t="s">
        <v>466</v>
      </c>
      <c r="C5">
        <v>5</v>
      </c>
    </row>
    <row r="6" spans="2:3" x14ac:dyDescent="0.3">
      <c r="B6" s="5" t="s">
        <v>235</v>
      </c>
      <c r="C6">
        <v>6</v>
      </c>
    </row>
    <row r="7" spans="2:3" x14ac:dyDescent="0.3">
      <c r="B7" s="5" t="s">
        <v>153</v>
      </c>
      <c r="C7">
        <v>7</v>
      </c>
    </row>
    <row r="8" spans="2:3" x14ac:dyDescent="0.3">
      <c r="B8" s="5" t="s">
        <v>346</v>
      </c>
      <c r="C8">
        <v>8</v>
      </c>
    </row>
    <row r="9" spans="2:3" x14ac:dyDescent="0.3">
      <c r="B9" s="5" t="s">
        <v>216</v>
      </c>
      <c r="C9">
        <v>9</v>
      </c>
    </row>
    <row r="10" spans="2:3" x14ac:dyDescent="0.3">
      <c r="B10" s="5" t="s">
        <v>170</v>
      </c>
      <c r="C10">
        <v>10</v>
      </c>
    </row>
    <row r="11" spans="2:3" x14ac:dyDescent="0.3">
      <c r="B11" s="5" t="s">
        <v>382</v>
      </c>
      <c r="C11">
        <v>11</v>
      </c>
    </row>
    <row r="12" spans="2:3" x14ac:dyDescent="0.3">
      <c r="B12" s="5" t="s">
        <v>33</v>
      </c>
      <c r="C12">
        <v>12</v>
      </c>
    </row>
    <row r="13" spans="2:3" x14ac:dyDescent="0.3">
      <c r="B13" s="5" t="s">
        <v>397</v>
      </c>
      <c r="C13">
        <v>13</v>
      </c>
    </row>
    <row r="14" spans="2:3" x14ac:dyDescent="0.3">
      <c r="B14" s="5" t="s">
        <v>90</v>
      </c>
      <c r="C14">
        <v>14</v>
      </c>
    </row>
    <row r="15" spans="2:3" x14ac:dyDescent="0.3">
      <c r="B15" s="5" t="s">
        <v>599</v>
      </c>
      <c r="C15">
        <v>15</v>
      </c>
    </row>
    <row r="16" spans="2:3" x14ac:dyDescent="0.3">
      <c r="B16" s="5" t="s">
        <v>427</v>
      </c>
      <c r="C16">
        <v>16</v>
      </c>
    </row>
    <row r="17" spans="2:3" x14ac:dyDescent="0.3">
      <c r="B17" s="5" t="s">
        <v>120</v>
      </c>
      <c r="C17">
        <v>17</v>
      </c>
    </row>
    <row r="18" spans="2:3" x14ac:dyDescent="0.3">
      <c r="B18" s="5" t="s">
        <v>314</v>
      </c>
      <c r="C18">
        <v>18</v>
      </c>
    </row>
    <row r="19" spans="2:3" x14ac:dyDescent="0.3">
      <c r="B19" s="5" t="s">
        <v>412</v>
      </c>
      <c r="C19">
        <v>19</v>
      </c>
    </row>
    <row r="20" spans="2:3" x14ac:dyDescent="0.3">
      <c r="B20" s="5" t="s">
        <v>76</v>
      </c>
      <c r="C20">
        <v>20</v>
      </c>
    </row>
    <row r="21" spans="2:3" x14ac:dyDescent="0.3">
      <c r="B21" s="5" t="s">
        <v>299</v>
      </c>
      <c r="C21">
        <v>21</v>
      </c>
    </row>
    <row r="22" spans="2:3" x14ac:dyDescent="0.3">
      <c r="B22" s="5" t="s">
        <v>630</v>
      </c>
      <c r="C22">
        <v>22</v>
      </c>
    </row>
    <row r="23" spans="2:3" x14ac:dyDescent="0.3">
      <c r="B23" s="5" t="s">
        <v>448</v>
      </c>
      <c r="C23">
        <v>23</v>
      </c>
    </row>
    <row r="24" spans="2:3" x14ac:dyDescent="0.3">
      <c r="B24" s="5" t="s">
        <v>284</v>
      </c>
      <c r="C24">
        <v>24</v>
      </c>
    </row>
    <row r="25" spans="2:3" x14ac:dyDescent="0.3">
      <c r="B25" s="5" t="s">
        <v>186</v>
      </c>
      <c r="C25">
        <v>25</v>
      </c>
    </row>
    <row r="26" spans="2:3" x14ac:dyDescent="0.3">
      <c r="B26" s="5" t="s">
        <v>582</v>
      </c>
      <c r="C26">
        <v>26</v>
      </c>
    </row>
    <row r="27" spans="2:3" x14ac:dyDescent="0.3">
      <c r="B27" s="5" t="s">
        <v>57</v>
      </c>
      <c r="C27">
        <v>27</v>
      </c>
    </row>
    <row r="28" spans="2:3" x14ac:dyDescent="0.3">
      <c r="B28" s="5" t="s">
        <v>105</v>
      </c>
      <c r="C28">
        <v>28</v>
      </c>
    </row>
    <row r="29" spans="2:3" x14ac:dyDescent="0.3">
      <c r="B29" s="5" t="s">
        <v>501</v>
      </c>
      <c r="C29">
        <v>29</v>
      </c>
    </row>
    <row r="30" spans="2:3" ht="16.2" thickBot="1" x14ac:dyDescent="0.35">
      <c r="B30" s="5" t="s">
        <v>201</v>
      </c>
      <c r="C30">
        <v>30</v>
      </c>
    </row>
    <row r="31" spans="2:3" ht="16.2" thickBot="1" x14ac:dyDescent="0.35">
      <c r="B31" s="3"/>
    </row>
    <row r="32" spans="2:3" ht="16.2" thickBot="1" x14ac:dyDescent="0.35">
      <c r="B32" s="3"/>
    </row>
    <row r="33" spans="2:2" ht="16.2" thickBot="1" x14ac:dyDescent="0.35">
      <c r="B33" s="3"/>
    </row>
    <row r="34" spans="2:2" ht="16.2" thickBot="1" x14ac:dyDescent="0.35">
      <c r="B34" s="3"/>
    </row>
    <row r="35" spans="2:2" ht="16.2" thickBot="1" x14ac:dyDescent="0.35">
      <c r="B35" s="3"/>
    </row>
    <row r="36" spans="2:2" ht="16.2" thickBot="1" x14ac:dyDescent="0.35">
      <c r="B36" s="3"/>
    </row>
    <row r="37" spans="2:2" ht="16.2" thickBot="1" x14ac:dyDescent="0.35">
      <c r="B37" s="3"/>
    </row>
    <row r="38" spans="2:2" ht="16.2" thickBot="1" x14ac:dyDescent="0.35">
      <c r="B38" s="3"/>
    </row>
    <row r="39" spans="2:2" ht="16.2" thickBot="1" x14ac:dyDescent="0.35">
      <c r="B39" s="3"/>
    </row>
    <row r="40" spans="2:2" ht="16.2" thickBot="1" x14ac:dyDescent="0.35">
      <c r="B40" s="3"/>
    </row>
    <row r="41" spans="2:2" ht="16.2" thickBot="1" x14ac:dyDescent="0.35">
      <c r="B41" s="3"/>
    </row>
    <row r="42" spans="2:2" ht="16.2" thickBot="1" x14ac:dyDescent="0.35">
      <c r="B42" s="3"/>
    </row>
    <row r="43" spans="2:2" ht="16.2" thickBot="1" x14ac:dyDescent="0.35">
      <c r="B43" s="3"/>
    </row>
    <row r="44" spans="2:2" ht="16.2" thickBot="1" x14ac:dyDescent="0.35">
      <c r="B44" s="3"/>
    </row>
    <row r="45" spans="2:2" ht="16.2" thickBot="1" x14ac:dyDescent="0.35">
      <c r="B45" s="3"/>
    </row>
    <row r="46" spans="2:2" ht="16.2" thickBot="1" x14ac:dyDescent="0.35">
      <c r="B46" s="4"/>
    </row>
    <row r="47" spans="2:2" ht="16.2" thickBot="1" x14ac:dyDescent="0.35">
      <c r="B47" s="3"/>
    </row>
    <row r="48" spans="2:2" ht="16.2" thickBot="1" x14ac:dyDescent="0.35">
      <c r="B48" s="3"/>
    </row>
    <row r="49" spans="2:2" ht="16.2" thickBot="1" x14ac:dyDescent="0.35">
      <c r="B49" s="3"/>
    </row>
    <row r="50" spans="2:2" ht="16.2" thickBot="1" x14ac:dyDescent="0.35">
      <c r="B50" s="4"/>
    </row>
    <row r="51" spans="2:2" ht="16.2" thickBot="1" x14ac:dyDescent="0.35">
      <c r="B51" s="3"/>
    </row>
    <row r="52" spans="2:2" ht="16.2" thickBot="1" x14ac:dyDescent="0.35">
      <c r="B52" s="3"/>
    </row>
    <row r="53" spans="2:2" ht="16.2" thickBot="1" x14ac:dyDescent="0.35">
      <c r="B53" s="3"/>
    </row>
    <row r="54" spans="2:2" ht="16.2" thickBot="1" x14ac:dyDescent="0.35">
      <c r="B54" s="3"/>
    </row>
    <row r="55" spans="2:2" ht="16.2" thickBot="1" x14ac:dyDescent="0.35">
      <c r="B55" s="3"/>
    </row>
    <row r="56" spans="2:2" ht="16.2" thickBot="1" x14ac:dyDescent="0.35">
      <c r="B56" s="3"/>
    </row>
    <row r="57" spans="2:2" ht="16.2" thickBot="1" x14ac:dyDescent="0.35">
      <c r="B57" s="3"/>
    </row>
    <row r="58" spans="2:2" ht="16.2" thickBot="1" x14ac:dyDescent="0.35">
      <c r="B58" s="3"/>
    </row>
    <row r="59" spans="2:2" ht="16.2" thickBot="1" x14ac:dyDescent="0.35">
      <c r="B59" s="3"/>
    </row>
    <row r="60" spans="2:2" ht="16.2" thickBot="1" x14ac:dyDescent="0.35">
      <c r="B60" s="3"/>
    </row>
    <row r="61" spans="2:2" ht="16.2" thickBot="1" x14ac:dyDescent="0.35">
      <c r="B61" s="3"/>
    </row>
    <row r="62" spans="2:2" ht="16.2" thickBot="1" x14ac:dyDescent="0.35">
      <c r="B6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processedData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2026-02-19T19:21:45Z</dcterms:modified>
</cp:coreProperties>
</file>